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 &amp; Skeleton" sheetId="1" state="visible" r:id="rId1"/>
    <sheet name="Audit Setup" sheetId="2" state="visible" r:id="rId2"/>
    <sheet name="Resource PM" sheetId="3" state="visible" r:id="rId3"/>
    <sheet name="Resource Asst PM" sheetId="4" state="visible" r:id="rId4"/>
    <sheet name="Resource Auditor 1" sheetId="5" state="visible" r:id="rId5"/>
    <sheet name="Resource Auditor 2" sheetId="6" state="visible" r:id="rId6"/>
    <sheet name="Resource Auditor 3" sheetId="7" state="visible" r:id="rId7"/>
    <sheet name="Resource Auditor 4" sheetId="8" state="visible" r:id="rId8"/>
    <sheet name="Resource AM" sheetId="9" state="visible" r:id="rId9"/>
    <sheet name="Resource QC" sheetId="10" state="visible" r:id="rId10"/>
    <sheet name="Resource 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/DD/YYYY"/>
    <numFmt numFmtId="166" formatCode="0&quot; wks&quot;"/>
    <numFmt numFmtId="167" formatCode="MM/DD/YY"/>
    <numFmt numFmtId="168" formatCode="#,##0.0;[Red]-#,##0.0;&quot;-&quot;"/>
    <numFmt numFmtId="169" formatCode="#,##0.0;-#,##0.0;&quot;-&quot;"/>
    <numFmt numFmtId="170" formatCode="#,##0;[Red]-#,##0;&quot;-&quot;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595959"/>
      <sz val="8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0000CD"/>
      <sz val="11"/>
    </font>
    <font>
      <name val="Arial"/>
      <color rgb="00000000"/>
      <sz val="10"/>
    </font>
    <font>
      <name val="Arial"/>
      <b val="1"/>
      <color rgb="00000000"/>
      <sz val="11"/>
    </font>
    <font>
      <name val="Arial"/>
      <color rgb="00595959"/>
      <sz val="9"/>
    </font>
    <font>
      <name val="Arial"/>
      <b val="1"/>
      <color rgb="00FFFFFF"/>
      <sz val="11"/>
    </font>
    <font>
      <name val="Arial"/>
      <b val="1"/>
      <color rgb="000000CD"/>
      <sz val="12"/>
    </font>
    <font>
      <name val="Arial"/>
      <i val="1"/>
      <color rgb="00595959"/>
      <sz val="9"/>
    </font>
    <font>
      <name val="Arial"/>
      <b val="1"/>
      <color rgb="00000000"/>
      <sz val="12"/>
    </font>
    <font>
      <name val="Arial"/>
      <color rgb="000000CD"/>
      <sz val="10"/>
    </font>
    <font>
      <name val="Arial"/>
      <color rgb="000000CD"/>
      <sz val="9"/>
    </font>
    <font>
      <name val="Arial"/>
      <color rgb="00C00000"/>
      <sz val="9"/>
    </font>
    <font>
      <name val="Arial"/>
      <color rgb="007B3F00"/>
      <sz val="9"/>
    </font>
    <font>
      <name val="Arial"/>
      <b val="1"/>
      <color rgb="007B3F00"/>
      <sz val="9"/>
    </font>
    <font>
      <name val="Arial"/>
      <b val="1"/>
      <color rgb="00C00000"/>
      <sz val="11"/>
    </font>
    <font>
      <name val="Arial"/>
      <b val="1"/>
      <color rgb="007B3F00"/>
      <sz val="11"/>
    </font>
    <font>
      <name val="Arial"/>
      <b val="1"/>
      <color rgb="00375623"/>
      <sz val="11"/>
    </font>
    <font>
      <name val="Arial"/>
      <b val="1"/>
      <i val="1"/>
      <color rgb="00000000"/>
      <sz val="9"/>
    </font>
  </fonts>
  <fills count="1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7B3F00"/>
        <bgColor rgb="007B3F00"/>
      </patternFill>
    </fill>
    <fill>
      <patternFill patternType="solid">
        <fgColor rgb="00F2F2F2"/>
        <bgColor rgb="00F2F2F2"/>
      </patternFill>
    </fill>
    <fill>
      <patternFill patternType="solid">
        <fgColor rgb="007030A0"/>
        <bgColor rgb="007030A0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  <fill>
      <patternFill patternType="solid">
        <fgColor rgb="002C4770"/>
        <bgColor rgb="002C4770"/>
      </patternFill>
    </fill>
    <fill>
      <patternFill patternType="solid">
        <fgColor rgb="00D6E4F0"/>
        <bgColor rgb="00D6E4F0"/>
      </patternFill>
    </fill>
    <fill>
      <patternFill patternType="solid">
        <fgColor rgb="001D5C2C"/>
        <bgColor rgb="001D5C2C"/>
      </patternFill>
    </fill>
    <fill>
      <patternFill patternType="solid">
        <fgColor rgb="00D9F0D9"/>
        <bgColor rgb="00D9F0D9"/>
      </patternFill>
    </fill>
    <fill>
      <patternFill patternType="solid">
        <fgColor rgb="00FFF0CC"/>
        <bgColor rgb="00FFF0CC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  <fill>
      <patternFill patternType="solid">
        <fgColor rgb="00375623"/>
        <bgColor rgb="00375623"/>
      </patternFill>
    </fill>
    <fill>
      <patternFill patternType="solid">
        <fgColor rgb="00FFE0E0"/>
        <bgColor rgb="00FFE0E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11" fillId="8" borderId="1" applyAlignment="1" pivotButton="0" quotePrefix="0" xfId="0">
      <alignment horizontal="center" vertical="center"/>
    </xf>
    <xf numFmtId="1" fontId="9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166" fontId="14" fillId="7" borderId="1" applyAlignment="1" pivotButton="0" quotePrefix="0" xfId="0">
      <alignment horizontal="center" vertical="center"/>
    </xf>
    <xf numFmtId="167" fontId="10" fillId="1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167" fontId="10" fillId="1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167" fontId="10" fillId="1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6" fontId="16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0" fillId="0" borderId="1" pivotButton="0" quotePrefix="0" xfId="0"/>
    <xf numFmtId="165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165" fontId="10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7" fillId="7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167" fontId="4" fillId="10" borderId="1" applyAlignment="1" pivotButton="0" quotePrefix="0" xfId="0">
      <alignment horizontal="center" vertical="center"/>
    </xf>
    <xf numFmtId="168" fontId="18" fillId="7" borderId="1" applyAlignment="1" pivotButton="0" quotePrefix="0" xfId="0">
      <alignment horizontal="center" vertical="center"/>
    </xf>
    <xf numFmtId="169" fontId="19" fillId="10" borderId="1" applyAlignment="1" pivotButton="0" quotePrefix="0" xfId="0">
      <alignment horizontal="center" vertical="center"/>
    </xf>
    <xf numFmtId="169" fontId="20" fillId="10" borderId="1" applyAlignment="1" pivotButton="0" quotePrefix="0" xfId="0">
      <alignment horizontal="center" vertical="center"/>
    </xf>
    <xf numFmtId="168" fontId="19" fillId="7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0" fontId="0" fillId="5" borderId="0" pivotButton="0" quotePrefix="0" xfId="0"/>
    <xf numFmtId="169" fontId="18" fillId="7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center" vertical="center"/>
    </xf>
    <xf numFmtId="169" fontId="19" fillId="12" borderId="1" applyAlignment="1" pivotButton="0" quotePrefix="0" xfId="0">
      <alignment horizontal="center" vertical="center"/>
    </xf>
    <xf numFmtId="169" fontId="20" fillId="12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167" fontId="4" fillId="13" borderId="1" applyAlignment="1" pivotButton="0" quotePrefix="0" xfId="0">
      <alignment horizontal="center" vertical="center"/>
    </xf>
    <xf numFmtId="169" fontId="19" fillId="13" borderId="1" applyAlignment="1" pivotButton="0" quotePrefix="0" xfId="0">
      <alignment horizontal="center" vertical="center"/>
    </xf>
    <xf numFmtId="169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3" fontId="22" fillId="17" borderId="1" applyAlignment="1" pivotButton="0" quotePrefix="0" xfId="0">
      <alignment horizontal="center" vertical="center"/>
    </xf>
    <xf numFmtId="3" fontId="23" fillId="18" borderId="1" applyAlignment="1" pivotButton="0" quotePrefix="0" xfId="0">
      <alignment horizontal="center" vertical="center"/>
    </xf>
    <xf numFmtId="3" fontId="24" fillId="8" borderId="1" applyAlignment="1" pivotButton="0" quotePrefix="0" xfId="0">
      <alignment horizontal="center" vertical="center"/>
    </xf>
    <xf numFmtId="0" fontId="25" fillId="5" borderId="0" applyAlignment="1" pivotButton="0" quotePrefix="0" xfId="0">
      <alignment horizontal="right" vertical="center"/>
    </xf>
    <xf numFmtId="170" fontId="11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00C00000"/>
        <sz val="9"/>
      </font>
      <fill>
        <patternFill patternType="solid">
          <fgColor rgb="00FFE0E0"/>
          <bgColor rgb="00FFE0E0"/>
        </patternFill>
      </fill>
    </dxf>
    <dxf>
      <font>
        <name val="Arial"/>
        <b val="1"/>
        <color rgb="007B3F00"/>
        <sz val="9"/>
      </font>
      <fill>
        <patternFill patternType="solid">
          <fgColor rgb="00FFD966"/>
          <b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</cols>
  <sheetData>
    <row r="1" ht="22" customHeight="1">
      <c r="A1" s="1" t="inlineStr">
        <is>
          <t>State Holiday Reference — FY2026 &amp; FY2027 (Weekday Holidays Only)</t>
        </is>
      </c>
    </row>
    <row r="3" ht="18" customHeight="1">
      <c r="A3" s="2" t="inlineStr">
        <is>
          <t>ALL AGENCIES CLOSED</t>
        </is>
      </c>
    </row>
    <row r="4" ht="16" customHeight="1">
      <c r="A4" s="3" t="inlineStr">
        <is>
          <t>Holiday</t>
        </is>
      </c>
      <c r="B4" s="3" t="inlineStr">
        <is>
          <t>Date</t>
        </is>
      </c>
      <c r="C4" s="3" t="inlineStr">
        <is>
          <t>Day of Week</t>
        </is>
      </c>
      <c r="D4" s="3" t="inlineStr">
        <is>
          <t>FY</t>
        </is>
      </c>
    </row>
    <row r="5" ht="15" customHeight="1">
      <c r="A5" s="4" t="inlineStr">
        <is>
          <t>Labor Day</t>
        </is>
      </c>
      <c r="B5" s="5" t="n">
        <v>45901</v>
      </c>
      <c r="C5" s="6" t="inlineStr">
        <is>
          <t>Monday</t>
        </is>
      </c>
      <c r="D5" s="6" t="inlineStr">
        <is>
          <t>FY2026</t>
        </is>
      </c>
    </row>
    <row r="6" ht="15" customHeight="1">
      <c r="A6" s="4" t="inlineStr">
        <is>
          <t>Veterans Day</t>
        </is>
      </c>
      <c r="B6" s="5" t="n">
        <v>45972</v>
      </c>
      <c r="C6" s="6" t="inlineStr">
        <is>
          <t>Tuesday</t>
        </is>
      </c>
      <c r="D6" s="6" t="inlineStr">
        <is>
          <t>FY2026</t>
        </is>
      </c>
    </row>
    <row r="7" ht="15" customHeight="1">
      <c r="A7" s="4" t="inlineStr">
        <is>
          <t>Thanksgiving Day</t>
        </is>
      </c>
      <c r="B7" s="5" t="n">
        <v>45988</v>
      </c>
      <c r="C7" s="6" t="inlineStr">
        <is>
          <t>Thursday</t>
        </is>
      </c>
      <c r="D7" s="6" t="inlineStr">
        <is>
          <t>FY2026</t>
        </is>
      </c>
    </row>
    <row r="8" ht="15" customHeight="1">
      <c r="A8" s="4" t="inlineStr">
        <is>
          <t>Day after Thanksgiving</t>
        </is>
      </c>
      <c r="B8" s="5" t="n">
        <v>45989</v>
      </c>
      <c r="C8" s="6" t="inlineStr">
        <is>
          <t>Friday</t>
        </is>
      </c>
      <c r="D8" s="6" t="inlineStr">
        <is>
          <t>FY2026</t>
        </is>
      </c>
    </row>
    <row r="9" ht="15" customHeight="1">
      <c r="A9" s="4" t="inlineStr">
        <is>
          <t>Christmas Eve Day</t>
        </is>
      </c>
      <c r="B9" s="5" t="n">
        <v>46015</v>
      </c>
      <c r="C9" s="6" t="inlineStr">
        <is>
          <t>Wednesday</t>
        </is>
      </c>
      <c r="D9" s="6" t="inlineStr">
        <is>
          <t>FY2026</t>
        </is>
      </c>
    </row>
    <row r="10" ht="15" customHeight="1">
      <c r="A10" s="4" t="inlineStr">
        <is>
          <t>Christmas Day</t>
        </is>
      </c>
      <c r="B10" s="5" t="n">
        <v>46016</v>
      </c>
      <c r="C10" s="6" t="inlineStr">
        <is>
          <t>Thursday</t>
        </is>
      </c>
      <c r="D10" s="6" t="inlineStr">
        <is>
          <t>FY2026</t>
        </is>
      </c>
    </row>
    <row r="11" ht="15" customHeight="1">
      <c r="A11" s="4" t="inlineStr">
        <is>
          <t>Day after Christmas</t>
        </is>
      </c>
      <c r="B11" s="5" t="n">
        <v>46017</v>
      </c>
      <c r="C11" s="6" t="inlineStr">
        <is>
          <t>Friday</t>
        </is>
      </c>
      <c r="D11" s="6" t="inlineStr">
        <is>
          <t>FY2026</t>
        </is>
      </c>
    </row>
    <row r="12" ht="15" customHeight="1">
      <c r="A12" s="4" t="inlineStr">
        <is>
          <t>New Year's Day</t>
        </is>
      </c>
      <c r="B12" s="5" t="n">
        <v>46023</v>
      </c>
      <c r="C12" s="6" t="inlineStr">
        <is>
          <t>Thursday</t>
        </is>
      </c>
      <c r="D12" s="6" t="inlineStr">
        <is>
          <t>FY2026</t>
        </is>
      </c>
    </row>
    <row r="13" ht="15" customHeight="1">
      <c r="A13" s="4" t="inlineStr">
        <is>
          <t>Martin Luther King, Jr. Day</t>
        </is>
      </c>
      <c r="B13" s="5" t="n">
        <v>46041</v>
      </c>
      <c r="C13" s="6" t="inlineStr">
        <is>
          <t>Monday</t>
        </is>
      </c>
      <c r="D13" s="6" t="inlineStr">
        <is>
          <t>FY2026</t>
        </is>
      </c>
    </row>
    <row r="14" ht="15" customHeight="1">
      <c r="A14" s="4" t="inlineStr">
        <is>
          <t>Presidents' Day</t>
        </is>
      </c>
      <c r="B14" s="5" t="n">
        <v>46069</v>
      </c>
      <c r="C14" s="6" t="inlineStr">
        <is>
          <t>Monday</t>
        </is>
      </c>
      <c r="D14" s="6" t="inlineStr">
        <is>
          <t>FY2026</t>
        </is>
      </c>
    </row>
    <row r="15" ht="15" customHeight="1">
      <c r="A15" s="4" t="inlineStr">
        <is>
          <t>Memorial Day</t>
        </is>
      </c>
      <c r="B15" s="5" t="n">
        <v>46167</v>
      </c>
      <c r="C15" s="6" t="inlineStr">
        <is>
          <t>Monday</t>
        </is>
      </c>
      <c r="D15" s="6" t="inlineStr">
        <is>
          <t>FY2026</t>
        </is>
      </c>
    </row>
    <row r="16" ht="15" customHeight="1">
      <c r="A16" s="4" t="inlineStr">
        <is>
          <t>Labor Day</t>
        </is>
      </c>
      <c r="B16" s="5" t="n">
        <v>46272</v>
      </c>
      <c r="C16" s="6" t="inlineStr">
        <is>
          <t>Monday</t>
        </is>
      </c>
      <c r="D16" s="6" t="inlineStr">
        <is>
          <t>FY2027</t>
        </is>
      </c>
    </row>
    <row r="17" ht="15" customHeight="1">
      <c r="A17" s="4" t="inlineStr">
        <is>
          <t>Veterans Day</t>
        </is>
      </c>
      <c r="B17" s="5" t="n">
        <v>46337</v>
      </c>
      <c r="C17" s="6" t="inlineStr">
        <is>
          <t>Wednesday</t>
        </is>
      </c>
      <c r="D17" s="6" t="inlineStr">
        <is>
          <t>FY2027</t>
        </is>
      </c>
    </row>
    <row r="18" ht="15" customHeight="1">
      <c r="A18" s="4" t="inlineStr">
        <is>
          <t>Thanksgiving Day</t>
        </is>
      </c>
      <c r="B18" s="5" t="n">
        <v>46352</v>
      </c>
      <c r="C18" s="6" t="inlineStr">
        <is>
          <t>Thursday</t>
        </is>
      </c>
      <c r="D18" s="6" t="inlineStr">
        <is>
          <t>FY2027</t>
        </is>
      </c>
    </row>
    <row r="19" ht="15" customHeight="1">
      <c r="A19" s="4" t="inlineStr">
        <is>
          <t>Day after Thanksgiving</t>
        </is>
      </c>
      <c r="B19" s="5" t="n">
        <v>46353</v>
      </c>
      <c r="C19" s="6" t="inlineStr">
        <is>
          <t>Friday</t>
        </is>
      </c>
      <c r="D19" s="6" t="inlineStr">
        <is>
          <t>FY2027</t>
        </is>
      </c>
    </row>
    <row r="20" ht="15" customHeight="1">
      <c r="A20" s="4" t="inlineStr">
        <is>
          <t>Christmas Eve Day</t>
        </is>
      </c>
      <c r="B20" s="5" t="n">
        <v>46380</v>
      </c>
      <c r="C20" s="6" t="inlineStr">
        <is>
          <t>Thursday</t>
        </is>
      </c>
      <c r="D20" s="6" t="inlineStr">
        <is>
          <t>FY2027</t>
        </is>
      </c>
    </row>
    <row r="21" ht="15" customHeight="1">
      <c r="A21" s="4" t="inlineStr">
        <is>
          <t>Christmas Day</t>
        </is>
      </c>
      <c r="B21" s="5" t="n">
        <v>46381</v>
      </c>
      <c r="C21" s="6" t="inlineStr">
        <is>
          <t>Friday</t>
        </is>
      </c>
      <c r="D21" s="6" t="inlineStr">
        <is>
          <t>FY2027</t>
        </is>
      </c>
    </row>
    <row r="22" ht="15" customHeight="1">
      <c r="A22" s="4" t="inlineStr">
        <is>
          <t>New Year's Day</t>
        </is>
      </c>
      <c r="B22" s="5" t="n">
        <v>46388</v>
      </c>
      <c r="C22" s="6" t="inlineStr">
        <is>
          <t>Friday</t>
        </is>
      </c>
      <c r="D22" s="6" t="inlineStr">
        <is>
          <t>FY2027</t>
        </is>
      </c>
    </row>
    <row r="23" ht="15" customHeight="1">
      <c r="A23" s="4" t="inlineStr">
        <is>
          <t>Martin Luther King, Jr. Day</t>
        </is>
      </c>
      <c r="B23" s="5" t="n">
        <v>46405</v>
      </c>
      <c r="C23" s="6" t="inlineStr">
        <is>
          <t>Monday</t>
        </is>
      </c>
      <c r="D23" s="6" t="inlineStr">
        <is>
          <t>FY2027</t>
        </is>
      </c>
    </row>
    <row r="24" ht="15" customHeight="1">
      <c r="A24" s="4" t="inlineStr">
        <is>
          <t>Presidents' Day</t>
        </is>
      </c>
      <c r="B24" s="5" t="n">
        <v>46433</v>
      </c>
      <c r="C24" s="6" t="inlineStr">
        <is>
          <t>Monday</t>
        </is>
      </c>
      <c r="D24" s="6" t="inlineStr">
        <is>
          <t>FY2027</t>
        </is>
      </c>
    </row>
    <row r="25" ht="15" customHeight="1">
      <c r="A25" s="4" t="inlineStr">
        <is>
          <t>Memorial Day</t>
        </is>
      </c>
      <c r="B25" s="5" t="n">
        <v>46538</v>
      </c>
      <c r="C25" s="6" t="inlineStr">
        <is>
          <t>Monday</t>
        </is>
      </c>
      <c r="D25" s="6" t="inlineStr">
        <is>
          <t>FY2027</t>
        </is>
      </c>
    </row>
    <row r="27" ht="18" customHeight="1">
      <c r="A27" s="7" t="inlineStr">
        <is>
          <t>SKELETON CREW DAYS</t>
        </is>
      </c>
    </row>
    <row r="28" ht="16" customHeight="1">
      <c r="A28" s="3" t="inlineStr">
        <is>
          <t>Holiday</t>
        </is>
      </c>
      <c r="B28" s="3" t="inlineStr">
        <is>
          <t>Date</t>
        </is>
      </c>
      <c r="C28" s="3" t="inlineStr">
        <is>
          <t>Day of Week</t>
        </is>
      </c>
      <c r="D28" s="3" t="inlineStr">
        <is>
          <t>FY</t>
        </is>
      </c>
    </row>
    <row r="29" ht="15" customHeight="1">
      <c r="A29" s="4" t="inlineStr">
        <is>
          <t>Texas Independence Day</t>
        </is>
      </c>
      <c r="B29" s="5" t="n">
        <v>46083</v>
      </c>
      <c r="C29" s="6" t="inlineStr">
        <is>
          <t>Monday</t>
        </is>
      </c>
      <c r="D29" s="6" t="inlineStr">
        <is>
          <t>FY2026</t>
        </is>
      </c>
    </row>
    <row r="30" ht="15" customHeight="1">
      <c r="A30" s="4" t="inlineStr">
        <is>
          <t>San Jacinto Day</t>
        </is>
      </c>
      <c r="B30" s="5" t="n">
        <v>46133</v>
      </c>
      <c r="C30" s="6" t="inlineStr">
        <is>
          <t>Tuesday</t>
        </is>
      </c>
      <c r="D30" s="6" t="inlineStr">
        <is>
          <t>FY2026</t>
        </is>
      </c>
    </row>
    <row r="31" ht="15" customHeight="1">
      <c r="A31" s="4" t="inlineStr">
        <is>
          <t>Emancipation Day</t>
        </is>
      </c>
      <c r="B31" s="5" t="n">
        <v>46192</v>
      </c>
      <c r="C31" s="6" t="inlineStr">
        <is>
          <t>Friday</t>
        </is>
      </c>
      <c r="D31" s="6" t="inlineStr">
        <is>
          <t>FY2026</t>
        </is>
      </c>
    </row>
    <row r="32" ht="15" customHeight="1">
      <c r="A32" s="4" t="inlineStr">
        <is>
          <t>LBJ Day</t>
        </is>
      </c>
      <c r="B32" s="5" t="n">
        <v>46261</v>
      </c>
      <c r="C32" s="6" t="inlineStr">
        <is>
          <t>Thursday</t>
        </is>
      </c>
      <c r="D32" s="6" t="inlineStr">
        <is>
          <t>FY2026</t>
        </is>
      </c>
    </row>
    <row r="33" ht="15" customHeight="1">
      <c r="A33" s="4" t="inlineStr">
        <is>
          <t>Confederate Heroes Day</t>
        </is>
      </c>
      <c r="B33" s="5" t="n">
        <v>46406</v>
      </c>
      <c r="C33" s="6" t="inlineStr">
        <is>
          <t>Tuesday</t>
        </is>
      </c>
      <c r="D33" s="6" t="inlineStr">
        <is>
          <t>FY2027</t>
        </is>
      </c>
    </row>
    <row r="34" ht="15" customHeight="1">
      <c r="A34" s="4" t="inlineStr">
        <is>
          <t>Texas Independence Day</t>
        </is>
      </c>
      <c r="B34" s="5" t="n">
        <v>46448</v>
      </c>
      <c r="C34" s="6" t="inlineStr">
        <is>
          <t>Tuesday</t>
        </is>
      </c>
      <c r="D34" s="6" t="inlineStr">
        <is>
          <t>FY2027</t>
        </is>
      </c>
    </row>
    <row r="35" ht="15" customHeight="1">
      <c r="A35" s="4" t="inlineStr">
        <is>
          <t>San Jacinto Day</t>
        </is>
      </c>
      <c r="B35" s="5" t="n">
        <v>46498</v>
      </c>
      <c r="C35" s="6" t="inlineStr">
        <is>
          <t>Wednesday</t>
        </is>
      </c>
      <c r="D35" s="6" t="inlineStr">
        <is>
          <t>FY2027</t>
        </is>
      </c>
    </row>
    <row r="36" ht="15" customHeight="1">
      <c r="A36" s="4" t="inlineStr">
        <is>
          <t>LBJ Day</t>
        </is>
      </c>
      <c r="B36" s="5" t="n">
        <v>46626</v>
      </c>
      <c r="C36" s="6" t="inlineStr">
        <is>
          <t>Friday</t>
        </is>
      </c>
      <c r="D36" s="6" t="inlineStr">
        <is>
          <t>FY2027</t>
        </is>
      </c>
    </row>
    <row r="38" ht="28" customHeight="1">
      <c r="A38" s="8" t="inlineStr">
        <is>
          <t>Weekend holidays excluded from this table.</t>
        </is>
      </c>
    </row>
  </sheetData>
  <mergeCells count="4">
    <mergeCell ref="A1:D1"/>
    <mergeCell ref="A27:D27"/>
    <mergeCell ref="A3:D3"/>
    <mergeCell ref="A38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 ht="26" customHeight="1">
      <c r="A1" s="9" t="inlineStr">
        <is>
          <t>Audit Configuration &amp; Milestone Calculator | v4</t>
        </is>
      </c>
    </row>
    <row r="2" ht="6" customHeight="1"/>
    <row r="3" ht="18" customHeight="1">
      <c r="A3" s="10" t="inlineStr">
        <is>
          <t>ANCHOR DATES</t>
        </is>
      </c>
    </row>
    <row r="4" ht="18" customHeight="1">
      <c r="A4" s="11" t="inlineStr">
        <is>
          <t>Field</t>
        </is>
      </c>
      <c r="B4" s="11" t="inlineStr">
        <is>
          <t>Value</t>
        </is>
      </c>
      <c r="C4" s="11" t="inlineStr">
        <is>
          <t>Day of Week / Calc</t>
        </is>
      </c>
      <c r="D4" s="11" t="inlineStr"/>
      <c r="E4" s="11" t="inlineStr">
        <is>
          <t>Validation / Notes</t>
        </is>
      </c>
    </row>
    <row r="5" ht="18" customHeight="1">
      <c r="A5" s="12" t="inlineStr">
        <is>
          <t>Kickoff / Project Launch Date</t>
        </is>
      </c>
      <c r="B5" s="13" t="n">
        <v>46113</v>
      </c>
      <c r="C5" s="14">
        <f>TEXT(B5,"dddd")</f>
        <v/>
      </c>
      <c r="E5" s="15">
        <f>IF(WEEKDAY(B5,2)=5,"⚠ Kickoff is a Friday","✓ OK")</f>
        <v/>
      </c>
    </row>
    <row r="6" ht="18" customHeight="1">
      <c r="A6" s="12" t="inlineStr">
        <is>
          <t>Report Release Date (auto-calculated)</t>
        </is>
      </c>
      <c r="B6" s="16">
        <f>WORKDAY(B5-WEEKDAY(B5,2)+1+(B16*7)-3,1,'Holidays &amp; Skeleton'!$B$5:$B$25)</f>
        <v/>
      </c>
      <c r="C6" s="14">
        <f>TEXT(B6,"dddd")</f>
        <v/>
      </c>
      <c r="E6" s="15">
        <f>IF(WEEKDAY(B6,2)&lt;&gt;1,"⚠ Release is not Monday","✓ OK")</f>
        <v/>
      </c>
    </row>
    <row r="7" ht="18" customHeight="1">
      <c r="A7" s="12" t="inlineStr">
        <is>
          <t>Standard Hours Lost per Holiday/Skeleton Day</t>
        </is>
      </c>
      <c r="B7" s="17" t="n">
        <v>8</v>
      </c>
      <c r="C7" s="18" t="inlineStr">
        <is>
          <t>Deducted from resource tabs per closure. Default: 8.</t>
        </is>
      </c>
    </row>
    <row r="8" ht="18" customHeight="1">
      <c r="A8" s="12" t="inlineStr">
        <is>
          <t>Weeks Before End of Fieldwork for On-Target Meeting</t>
        </is>
      </c>
      <c r="B8" s="17" t="n">
        <v>1</v>
      </c>
      <c r="C8" s="15">
        <f>"On-Target = "&amp;TEXT(D13-4-$B$8*7,"MM/DD/YY dddd")&amp;" | Buffer: "&amp;$B$8&amp;" wk(s)"</f>
        <v/>
      </c>
    </row>
    <row r="9" ht="8" customHeight="1"/>
    <row r="10" ht="18" customHeight="1">
      <c r="A10" s="19" t="inlineStr">
        <is>
          <t>PHASE CONFIGURATION</t>
        </is>
      </c>
    </row>
    <row r="11" ht="18" customHeight="1">
      <c r="A11" s="11" t="inlineStr">
        <is>
          <t>Phase</t>
        </is>
      </c>
      <c r="B11" s="11" t="inlineStr">
        <is>
          <t>Weeks Allocated</t>
        </is>
      </c>
      <c r="C11" s="11" t="inlineStr">
        <is>
          <t>Start (Mon)</t>
        </is>
      </c>
      <c r="D11" s="11" t="inlineStr">
        <is>
          <t>End (Fri)</t>
        </is>
      </c>
      <c r="E11" s="11" t="inlineStr">
        <is>
          <t>Notes / Validation</t>
        </is>
      </c>
    </row>
    <row r="12" ht="20" customHeight="1">
      <c r="A12" s="20" t="inlineStr">
        <is>
          <t>PLANNING</t>
        </is>
      </c>
      <c r="B12" s="21" t="n">
        <v>4</v>
      </c>
      <c r="C12" s="22">
        <f>B5-WEEKDAY(B5,2)+1</f>
        <v/>
      </c>
      <c r="D12" s="22">
        <f>C12+(B12-1)*7+4</f>
        <v/>
      </c>
      <c r="E12" s="23" t="inlineStr">
        <is>
          <t>Start snaps to Monday of kickoff week</t>
        </is>
      </c>
    </row>
    <row r="13" ht="28" customHeight="1">
      <c r="A13" s="24" t="inlineStr">
        <is>
          <t>FIELDWORK</t>
        </is>
      </c>
      <c r="B13" s="21" t="n">
        <v>16</v>
      </c>
      <c r="C13" s="25">
        <f>D12+3</f>
        <v/>
      </c>
      <c r="D13" s="25">
        <f>C13+(B13-1)*7+4</f>
        <v/>
      </c>
      <c r="E13" s="26">
        <f>IF(C25-C23&lt;28,"⚠ Writing window short","✓ OK")</f>
        <v/>
      </c>
    </row>
    <row r="14" ht="20" customHeight="1">
      <c r="A14" s="27" t="inlineStr">
        <is>
          <t>REPORTING</t>
        </is>
      </c>
      <c r="B14" s="21" t="n">
        <v>4</v>
      </c>
      <c r="C14" s="28">
        <f>D13+3</f>
        <v/>
      </c>
      <c r="D14" s="28">
        <f>C14+(B14-1)*7+4</f>
        <v/>
      </c>
      <c r="E14" s="23" t="inlineStr">
        <is>
          <t>Begins Monday after Fieldwork ends</t>
        </is>
      </c>
    </row>
    <row r="15" ht="8" customHeight="1"/>
    <row r="16" ht="18" customHeight="1">
      <c r="A16" s="29" t="inlineStr">
        <is>
          <t>TOTAL AUDIT WEEKS</t>
        </is>
      </c>
      <c r="B16" s="30">
        <f>SUM(B12:B14)</f>
        <v/>
      </c>
      <c r="C16" s="15">
        <f>"Audit: "&amp;TEXT(C12,"MM/DD/YY")&amp;" - "&amp;TEXT(D14,"MM/DD/YY")</f>
        <v/>
      </c>
    </row>
    <row r="17" ht="8" customHeight="1"/>
    <row r="18" ht="18" customHeight="1">
      <c r="A18" s="10" t="inlineStr">
        <is>
          <t>MILESTONE CALENDAR</t>
        </is>
      </c>
    </row>
    <row r="19" ht="18" customHeight="1">
      <c r="A19" s="11" t="inlineStr">
        <is>
          <t>Milestone</t>
        </is>
      </c>
      <c r="B19" s="11" t="inlineStr"/>
      <c r="C19" s="11" t="inlineStr">
        <is>
          <t>Date</t>
        </is>
      </c>
      <c r="D19" s="11" t="inlineStr">
        <is>
          <t>Day of Week</t>
        </is>
      </c>
      <c r="E19" s="11" t="inlineStr">
        <is>
          <t>Notes / Validation</t>
        </is>
      </c>
    </row>
    <row r="20" ht="18" customHeight="1">
      <c r="A20" s="31" t="inlineStr">
        <is>
          <t>Kickoff / Project Launch</t>
        </is>
      </c>
      <c r="B20" s="32" t="n"/>
      <c r="C20" s="33">
        <f>B5</f>
        <v/>
      </c>
      <c r="D20" s="34">
        <f>IF(ISNUMBER(C20),TEXT(C20,"dddd"),"")</f>
        <v/>
      </c>
      <c r="E20" s="35" t="inlineStr">
        <is>
          <t>Anchor</t>
        </is>
      </c>
    </row>
    <row r="21" ht="18" customHeight="1">
      <c r="A21" s="36" t="inlineStr">
        <is>
          <t>End of Planning</t>
        </is>
      </c>
      <c r="B21" s="32" t="n"/>
      <c r="C21" s="37">
        <f>D12</f>
        <v/>
      </c>
      <c r="D21" s="38">
        <f>IF(ISNUMBER(C21),TEXT(C21,"dddd"),"")</f>
        <v/>
      </c>
      <c r="E21" s="39" t="inlineStr">
        <is>
          <t>Last Friday of Planning</t>
        </is>
      </c>
    </row>
    <row r="22" ht="18" customHeight="1">
      <c r="A22" s="36" t="inlineStr">
        <is>
          <t>Outline Sent to Exec</t>
        </is>
      </c>
      <c r="B22" s="32" t="n"/>
      <c r="C22" s="37">
        <f>WORKDAY(C23,-2,'Holidays &amp; Skeleton'!$B$5:$B$25)</f>
        <v/>
      </c>
      <c r="D22" s="38">
        <f>IF(ISNUMBER(C22),TEXT(C22,"dddd"),"")</f>
        <v/>
      </c>
      <c r="E22" s="39" t="inlineStr">
        <is>
          <t>2 business days before On-Target</t>
        </is>
      </c>
    </row>
    <row r="23" ht="18" customHeight="1">
      <c r="A23" s="31" t="inlineStr">
        <is>
          <t>ON-TARGET MEETING</t>
        </is>
      </c>
      <c r="B23" s="32" t="n"/>
      <c r="C23" s="33">
        <f>D13-4-$B$8*7</f>
        <v/>
      </c>
      <c r="D23" s="34">
        <f>IF(ISNUMBER(C23),TEXT(C23,"dddd"),"")</f>
        <v/>
      </c>
      <c r="E23" s="35" t="inlineStr">
        <is>
          <t>Monday of week B8 weeks before end of Fieldwork</t>
        </is>
      </c>
    </row>
    <row r="24" ht="18" customHeight="1">
      <c r="A24" s="36" t="inlineStr">
        <is>
          <t>Writing Period Begins</t>
        </is>
      </c>
      <c r="B24" s="32" t="n"/>
      <c r="C24" s="37">
        <f>C23+1</f>
        <v/>
      </c>
      <c r="D24" s="38">
        <f>IF(ISNUMBER(C24),TEXT(C24,"dddd"),"")</f>
        <v/>
      </c>
      <c r="E24" s="39" t="inlineStr">
        <is>
          <t>Day after On-Target</t>
        </is>
      </c>
    </row>
    <row r="25" ht="24" customHeight="1">
      <c r="A25" s="36" t="inlineStr">
        <is>
          <t>Draft Sent to Exec</t>
        </is>
      </c>
      <c r="B25" s="32" t="n"/>
      <c r="C25" s="37">
        <f>WORKDAY(C26,-3,'Holidays &amp; Skeleton'!$B$5:$B$25)</f>
        <v/>
      </c>
      <c r="D25" s="38">
        <f>IF(ISNUMBER(C25),TEXT(C25,"dddd"),"")</f>
        <v/>
      </c>
      <c r="E25" s="39">
        <f>IF(C25-C23&lt;28,"⚠ Writing window short","")</f>
        <v/>
      </c>
    </row>
    <row r="26" ht="18" customHeight="1">
      <c r="A26" s="36" t="inlineStr">
        <is>
          <t>Exit Conference</t>
        </is>
      </c>
      <c r="B26" s="32" t="n"/>
      <c r="C26" s="37">
        <f>WORKDAY(C27,-10,'Holidays &amp; Skeleton'!$B$5:$B$25)</f>
        <v/>
      </c>
      <c r="D26" s="38">
        <f>IF(ISNUMBER(C26),TEXT(C26,"dddd"),"")</f>
        <v/>
      </c>
      <c r="E26" s="39" t="inlineStr">
        <is>
          <t>10 business days before Mgmt Responses Due</t>
        </is>
      </c>
    </row>
    <row r="27" ht="18" customHeight="1">
      <c r="A27" s="36" t="inlineStr">
        <is>
          <t>Management Responses Due</t>
        </is>
      </c>
      <c r="B27" s="32" t="n"/>
      <c r="C27" s="37">
        <f>B6-7</f>
        <v/>
      </c>
      <c r="D27" s="38">
        <f>IF(ISNUMBER(C27),TEXT(C27,"dddd"),"")</f>
        <v/>
      </c>
      <c r="E27" s="39" t="inlineStr">
        <is>
          <t>Monday of release week minus 1 week</t>
        </is>
      </c>
    </row>
    <row r="28" ht="18" customHeight="1">
      <c r="A28" s="36" t="inlineStr">
        <is>
          <t>Final Draft to Exec</t>
        </is>
      </c>
      <c r="B28" s="32" t="n"/>
      <c r="C28" s="37">
        <f>B6-6</f>
        <v/>
      </c>
      <c r="D28" s="38">
        <f>IF(ISNUMBER(C28),TEXT(C28,"dddd"),"")</f>
        <v/>
      </c>
      <c r="E28" s="39" t="inlineStr">
        <is>
          <t>Tuesday of release week</t>
        </is>
      </c>
    </row>
    <row r="29" ht="18" customHeight="1">
      <c r="A29" s="36" t="inlineStr">
        <is>
          <t>Exec Approves Final Draft</t>
        </is>
      </c>
      <c r="B29" s="32" t="n"/>
      <c r="C29" s="37">
        <f>B6-5</f>
        <v/>
      </c>
      <c r="D29" s="38">
        <f>IF(ISNUMBER(C29),TEXT(C29,"dddd"),"")</f>
        <v/>
      </c>
      <c r="E29" s="39" t="inlineStr">
        <is>
          <t>Wednesday of release week</t>
        </is>
      </c>
    </row>
    <row r="30" ht="18" customHeight="1">
      <c r="A30" s="36" t="inlineStr">
        <is>
          <t>PM / AM Review Prototype</t>
        </is>
      </c>
      <c r="B30" s="32" t="n"/>
      <c r="C30" s="37">
        <f>B6-5</f>
        <v/>
      </c>
      <c r="D30" s="38">
        <f>IF(ISNUMBER(C30),TEXT(C30,"dddd"),"")</f>
        <v/>
      </c>
      <c r="E30" s="39" t="inlineStr">
        <is>
          <t>Wednesday-Thursday of release week</t>
        </is>
      </c>
    </row>
    <row r="31" ht="18" customHeight="1">
      <c r="A31" s="36" t="inlineStr">
        <is>
          <t>Editors Set Up Release Emails</t>
        </is>
      </c>
      <c r="B31" s="32" t="n"/>
      <c r="C31" s="37">
        <f>B6-3</f>
        <v/>
      </c>
      <c r="D31" s="38">
        <f>IF(ISNUMBER(C31),TEXT(C31,"dddd"),"")</f>
        <v/>
      </c>
      <c r="E31" s="39" t="inlineStr">
        <is>
          <t>Friday of release week</t>
        </is>
      </c>
    </row>
    <row r="32" ht="18" customHeight="1">
      <c r="A32" s="31" t="inlineStr">
        <is>
          <t>REPORT RELEASE</t>
        </is>
      </c>
      <c r="B32" s="32" t="n"/>
      <c r="C32" s="33">
        <f>B6</f>
        <v/>
      </c>
      <c r="D32" s="34">
        <f>IF(ISNUMBER(C32),TEXT(C32,"dddd"),"")</f>
        <v/>
      </c>
      <c r="E32" s="35">
        <f>IF(WEEKDAY(B6,2)&lt;&gt;1,"⚠ Release not Monday","✓ OK")</f>
        <v/>
      </c>
    </row>
  </sheetData>
  <mergeCells count="9">
    <mergeCell ref="C16:E16"/>
    <mergeCell ref="C6:D6"/>
    <mergeCell ref="A10:E10"/>
    <mergeCell ref="C5:D5"/>
    <mergeCell ref="C8:E8"/>
    <mergeCell ref="A1:E1"/>
    <mergeCell ref="C7:E7"/>
    <mergeCell ref="A18:E18"/>
    <mergeCell ref="A3:E3"/>
  </mergeCells>
  <conditionalFormatting sqref="E6">
    <cfRule type="expression" priority="1" dxfId="0">
      <formula>=WEEKDAY($B$6,2)&lt;&gt;1</formula>
    </cfRule>
  </conditionalFormatting>
  <conditionalFormatting sqref="E13">
    <cfRule type="expression" priority="2" dxfId="0">
      <formula>=C25-C23&lt;28</formula>
    </cfRule>
  </conditionalFormatting>
  <conditionalFormatting sqref="A25:E25">
    <cfRule type="expression" priority="3" dxfId="0">
      <formula>=C25-C23&lt;28</formula>
    </cfRule>
  </conditionalFormatting>
  <conditionalFormatting sqref="A32:E32">
    <cfRule type="expression" priority="4" dxfId="0">
      <formula>=WEEKDAY($B$6,2)&lt;&gt;1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PM</t>
        </is>
      </c>
    </row>
    <row r="2" ht="18" customHeight="1">
      <c r="A2" s="40" t="inlineStr">
        <is>
          <t>Resource Name:</t>
        </is>
      </c>
      <c r="C2" s="41" t="inlineStr">
        <is>
          <t>PM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Asst PM</t>
        </is>
      </c>
    </row>
    <row r="2" ht="18" customHeight="1">
      <c r="A2" s="40" t="inlineStr">
        <is>
          <t>Resource Name:</t>
        </is>
      </c>
      <c r="C2" s="41" t="inlineStr">
        <is>
          <t>Asst PM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D5C2C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Auditor 1</t>
        </is>
      </c>
    </row>
    <row r="2" ht="18" customHeight="1">
      <c r="A2" s="40" t="inlineStr">
        <is>
          <t>Resource Name:</t>
        </is>
      </c>
      <c r="C2" s="41" t="inlineStr">
        <is>
          <t>Auditor 1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Auditor 2</t>
        </is>
      </c>
    </row>
    <row r="2" ht="18" customHeight="1">
      <c r="A2" s="40" t="inlineStr">
        <is>
          <t>Resource Name:</t>
        </is>
      </c>
      <c r="C2" s="41" t="inlineStr">
        <is>
          <t>Auditor 2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7C59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Auditor 3</t>
        </is>
      </c>
    </row>
    <row r="2" ht="18" customHeight="1">
      <c r="A2" s="40" t="inlineStr">
        <is>
          <t>Resource Name:</t>
        </is>
      </c>
      <c r="C2" s="41" t="inlineStr">
        <is>
          <t>Auditor 3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6A4F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Auditor 4</t>
        </is>
      </c>
    </row>
    <row r="2" ht="18" customHeight="1">
      <c r="A2" s="40" t="inlineStr">
        <is>
          <t>Resource Name:</t>
        </is>
      </c>
      <c r="C2" s="41" t="inlineStr">
        <is>
          <t>Auditor 4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AM</t>
        </is>
      </c>
    </row>
    <row r="2" ht="18" customHeight="1">
      <c r="A2" s="40" t="inlineStr">
        <is>
          <t>Resource Name:</t>
        </is>
      </c>
      <c r="C2" s="41" t="inlineStr">
        <is>
          <t>AM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QC</t>
        </is>
      </c>
    </row>
    <row r="2" ht="18" customHeight="1">
      <c r="A2" s="40" t="inlineStr">
        <is>
          <t>Resource Name:</t>
        </is>
      </c>
      <c r="C2" s="41" t="inlineStr">
        <is>
          <t>QC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6B6B"/>
    <outlinePr summaryBelow="1" summaryRight="1"/>
    <pageSetUpPr/>
  </sheetPr>
  <dimension ref="A1:L9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" customWidth="1" min="9" max="9"/>
    <col width="4" customWidth="1" min="10" max="10"/>
    <col width="16" customWidth="1" min="11" max="11"/>
    <col width="36" customWidth="1" min="12" max="12"/>
  </cols>
  <sheetData>
    <row r="1" ht="24" customHeight="1">
      <c r="A1" s="1" t="inlineStr">
        <is>
          <t>Audit Resource Tracker | v4 | RE</t>
        </is>
      </c>
    </row>
    <row r="2" ht="18" customHeight="1">
      <c r="A2" s="40" t="inlineStr">
        <is>
          <t>Resource Name:</t>
        </is>
      </c>
      <c r="C2" s="41" t="inlineStr">
        <is>
          <t>RE</t>
        </is>
      </c>
    </row>
    <row r="3" ht="18" customHeight="1">
      <c r="A3" s="40" t="inlineStr">
        <is>
          <t>Audit / Project:</t>
        </is>
      </c>
      <c r="C3" s="41" t="inlineStr">
        <is>
          <t>Enter audit name</t>
        </is>
      </c>
    </row>
    <row r="4" ht="20" customHeight="1">
      <c r="A4" s="8" t="inlineStr">
        <is>
          <t>Phase structure driven by 'Audit Setup'. Blue = manual entry.</t>
        </is>
      </c>
    </row>
    <row r="5" ht="6" customHeight="1"/>
    <row r="6" ht="42" customHeight="1">
      <c r="A6" s="42" t="inlineStr">
        <is>
          <t>Week
#</t>
        </is>
      </c>
      <c r="B6" s="43" t="inlineStr">
        <is>
          <t>Task
Assignment</t>
        </is>
      </c>
      <c r="C6" s="42" t="inlineStr">
        <is>
          <t>Week Of
(Mon)</t>
        </is>
      </c>
      <c r="D6" s="43" t="inlineStr">
        <is>
          <t>Hours
Avail.</t>
        </is>
      </c>
      <c r="E6" s="44" t="inlineStr">
        <is>
          <t>(-) Business
Holidays</t>
        </is>
      </c>
      <c r="F6" s="45" t="inlineStr">
        <is>
          <t>(-) Skeleton
Days</t>
        </is>
      </c>
      <c r="G6" s="44" t="inlineStr">
        <is>
          <t>(-) Leave
Planned</t>
        </is>
      </c>
      <c r="H6" s="46" t="inlineStr">
        <is>
          <t>Total
Avail.</t>
        </is>
      </c>
      <c r="I6" s="47" t="inlineStr"/>
      <c r="J6" s="47" t="inlineStr"/>
      <c r="K6" s="42" t="inlineStr">
        <is>
          <t>Actual Hrs</t>
        </is>
      </c>
      <c r="L6" s="48" t="inlineStr">
        <is>
          <t>Milestones
This Week</t>
        </is>
      </c>
    </row>
    <row r="7" ht="22" customHeight="1">
      <c r="A7" s="49">
        <f>" PLANNING - Weeks 1-"&amp;'Audit Setup'!$B$12</f>
        <v/>
      </c>
    </row>
    <row r="8" ht="15" customHeight="1">
      <c r="A8" s="50">
        <f>IF(1&lt;='Audit Setup'!$B$12,"PL-"&amp;1,"")</f>
        <v/>
      </c>
      <c r="B8" s="35" t="inlineStr"/>
      <c r="C8" s="51">
        <f>'Audit Setup'!$C$12</f>
        <v/>
      </c>
      <c r="D8" s="52" t="n">
        <v>0</v>
      </c>
      <c r="E8" s="53">
        <f>-COUNTIFS('Holidays &amp; Skeleton'!$B$5:$B$25,"&gt;="&amp;C8,'Holidays &amp; Skeleton'!$B$5:$B$25,"&lt;="&amp;(C8+4))*'Audit Setup'!$B$7</f>
        <v/>
      </c>
      <c r="F8" s="54">
        <f>-COUNTIFS('Holidays &amp; Skeleton'!$B$29:$B$36,"&gt;="&amp;C8,'Holidays &amp; Skeleton'!$B$29:$B$36,"&lt;="&amp;(C8+4))*'Audit Setup'!$B$7</f>
        <v/>
      </c>
      <c r="G8" s="55" t="n">
        <v>0</v>
      </c>
      <c r="H8" s="56">
        <f>CEILING(MAX(0,SUM(D8:G8)),1)</f>
        <v/>
      </c>
      <c r="I8" s="57" t="n"/>
      <c r="J8" s="57" t="n"/>
      <c r="K8" s="58" t="n">
        <v>0</v>
      </c>
      <c r="L8" s="59">
        <f>IF(NOT(ISNUMBER(C8)),"",TRIM(CONCATENATE(IF(AND('Audit Setup'!$C$20&gt;=C8,'Audit Setup'!$C$20&lt;=C8+4),"⚑ KICKOFF ",""),IF(AND('Audit Setup'!$C$21&gt;=C8,'Audit Setup'!$C$21&lt;=C8+4),"⚑ END OF PLANNING ",""),IF(AND('Audit Setup'!$C$22&gt;=C8,'Audit Setup'!$C$22&lt;=C8+4),"⚑ OUTLINE TO EXEC ",""),IF(AND('Audit Setup'!$C$23&gt;=C8,'Audit Setup'!$C$23&lt;=C8+4),"⚑ ON-TARGET ",""),IF(AND('Audit Setup'!$C$25&gt;=C8,'Audit Setup'!$C$25&lt;=C8+4),"⚑ DRAFT TO EXEC ",""),IF(AND('Audit Setup'!$C$26&gt;=C8,'Audit Setup'!$C$26&lt;=C8+4),"⚑ EXIT CONFERENCE ",""),IF(AND('Audit Setup'!$C$27&gt;=C8,'Audit Setup'!$C$27&lt;=C8+4),"⚑ MGMT RESPONSES DUE ",""),IF(AND('Audit Setup'!$C$32&gt;=C8,'Audit Setup'!$C$32&lt;=C8+4),"⚑ REPORT RELEASE ",""))))</f>
        <v/>
      </c>
    </row>
    <row r="9" ht="15" customHeight="1">
      <c r="A9" s="50">
        <f>IF(2&lt;='Audit Setup'!$B$12,"PL-"&amp;2,"")</f>
        <v/>
      </c>
      <c r="B9" s="35" t="inlineStr"/>
      <c r="C9" s="51">
        <f>C8+7</f>
        <v/>
      </c>
      <c r="D9" s="52" t="n">
        <v>0</v>
      </c>
      <c r="E9" s="53">
        <f>-COUNTIFS('Holidays &amp; Skeleton'!$B$5:$B$25,"&gt;="&amp;C9,'Holidays &amp; Skeleton'!$B$5:$B$25,"&lt;="&amp;(C9+4))*'Audit Setup'!$B$7</f>
        <v/>
      </c>
      <c r="F9" s="54">
        <f>-COUNTIFS('Holidays &amp; Skeleton'!$B$29:$B$36,"&gt;="&amp;C9,'Holidays &amp; Skeleton'!$B$29:$B$36,"&lt;="&amp;(C9+4))*'Audit Setup'!$B$7</f>
        <v/>
      </c>
      <c r="G9" s="55" t="n">
        <v>0</v>
      </c>
      <c r="H9" s="56">
        <f>CEILING(MAX(0,SUM(D9:G9)),1)</f>
        <v/>
      </c>
      <c r="I9" s="57" t="n"/>
      <c r="J9" s="57" t="n"/>
      <c r="K9" s="58" t="n">
        <v>0</v>
      </c>
      <c r="L9" s="59">
        <f>IF(NOT(ISNUMBER(C9)),"",TRIM(CONCATENATE(IF(AND('Audit Setup'!$C$20&gt;=C9,'Audit Setup'!$C$20&lt;=C9+4),"⚑ KICKOFF ",""),IF(AND('Audit Setup'!$C$21&gt;=C9,'Audit Setup'!$C$21&lt;=C9+4),"⚑ END OF PLANNING ",""),IF(AND('Audit Setup'!$C$22&gt;=C9,'Audit Setup'!$C$22&lt;=C9+4),"⚑ OUTLINE TO EXEC ",""),IF(AND('Audit Setup'!$C$23&gt;=C9,'Audit Setup'!$C$23&lt;=C9+4),"⚑ ON-TARGET ",""),IF(AND('Audit Setup'!$C$25&gt;=C9,'Audit Setup'!$C$25&lt;=C9+4),"⚑ DRAFT TO EXEC ",""),IF(AND('Audit Setup'!$C$26&gt;=C9,'Audit Setup'!$C$26&lt;=C9+4),"⚑ EXIT CONFERENCE ",""),IF(AND('Audit Setup'!$C$27&gt;=C9,'Audit Setup'!$C$27&lt;=C9+4),"⚑ MGMT RESPONSES DUE ",""),IF(AND('Audit Setup'!$C$32&gt;=C9,'Audit Setup'!$C$32&lt;=C9+4),"⚑ REPORT RELEASE ",""))))</f>
        <v/>
      </c>
    </row>
    <row r="10" ht="15" customHeight="1">
      <c r="A10" s="50">
        <f>IF(3&lt;='Audit Setup'!$B$12,"PL-"&amp;3,"")</f>
        <v/>
      </c>
      <c r="B10" s="35" t="inlineStr"/>
      <c r="C10" s="51">
        <f>C9+7</f>
        <v/>
      </c>
      <c r="D10" s="52" t="n">
        <v>0</v>
      </c>
      <c r="E10" s="53">
        <f>-COUNTIFS('Holidays &amp; Skeleton'!$B$5:$B$25,"&gt;="&amp;C10,'Holidays &amp; Skeleton'!$B$5:$B$25,"&lt;="&amp;(C10+4))*'Audit Setup'!$B$7</f>
        <v/>
      </c>
      <c r="F10" s="54">
        <f>-COUNTIFS('Holidays &amp; Skeleton'!$B$29:$B$36,"&gt;="&amp;C10,'Holidays &amp; Skeleton'!$B$29:$B$36,"&lt;="&amp;(C10+4))*'Audit Setup'!$B$7</f>
        <v/>
      </c>
      <c r="G10" s="55" t="n">
        <v>0</v>
      </c>
      <c r="H10" s="56">
        <f>CEILING(MAX(0,SUM(D10:G10)),1)</f>
        <v/>
      </c>
      <c r="I10" s="57" t="n"/>
      <c r="J10" s="57" t="n"/>
      <c r="K10" s="58" t="n">
        <v>0</v>
      </c>
      <c r="L10" s="59">
        <f>IF(NOT(ISNUMBER(C10)),"",TRIM(CONCATENATE(IF(AND('Audit Setup'!$C$20&gt;=C10,'Audit Setup'!$C$20&lt;=C10+4),"⚑ KICKOFF ",""),IF(AND('Audit Setup'!$C$21&gt;=C10,'Audit Setup'!$C$21&lt;=C10+4),"⚑ END OF PLANNING ",""),IF(AND('Audit Setup'!$C$22&gt;=C10,'Audit Setup'!$C$22&lt;=C10+4),"⚑ OUTLINE TO EXEC ",""),IF(AND('Audit Setup'!$C$23&gt;=C10,'Audit Setup'!$C$23&lt;=C10+4),"⚑ ON-TARGET ",""),IF(AND('Audit Setup'!$C$25&gt;=C10,'Audit Setup'!$C$25&lt;=C10+4),"⚑ DRAFT TO EXEC ",""),IF(AND('Audit Setup'!$C$26&gt;=C10,'Audit Setup'!$C$26&lt;=C10+4),"⚑ EXIT CONFERENCE ",""),IF(AND('Audit Setup'!$C$27&gt;=C10,'Audit Setup'!$C$27&lt;=C10+4),"⚑ MGMT RESPONSES DUE ",""),IF(AND('Audit Setup'!$C$32&gt;=C10,'Audit Setup'!$C$32&lt;=C10+4),"⚑ REPORT RELEASE ",""))))</f>
        <v/>
      </c>
    </row>
    <row r="11" ht="15" customHeight="1">
      <c r="A11" s="50">
        <f>IF(4&lt;='Audit Setup'!$B$12,"PL-"&amp;4,"")</f>
        <v/>
      </c>
      <c r="B11" s="35" t="inlineStr"/>
      <c r="C11" s="51">
        <f>C10+7</f>
        <v/>
      </c>
      <c r="D11" s="52" t="n">
        <v>0</v>
      </c>
      <c r="E11" s="53">
        <f>-COUNTIFS('Holidays &amp; Skeleton'!$B$5:$B$25,"&gt;="&amp;C11,'Holidays &amp; Skeleton'!$B$5:$B$25,"&lt;="&amp;(C11+4))*'Audit Setup'!$B$7</f>
        <v/>
      </c>
      <c r="F11" s="54">
        <f>-COUNTIFS('Holidays &amp; Skeleton'!$B$29:$B$36,"&gt;="&amp;C11,'Holidays &amp; Skeleton'!$B$29:$B$36,"&lt;="&amp;(C11+4))*'Audit Setup'!$B$7</f>
        <v/>
      </c>
      <c r="G11" s="55" t="n">
        <v>0</v>
      </c>
      <c r="H11" s="56">
        <f>CEILING(MAX(0,SUM(D11:G11)),1)</f>
        <v/>
      </c>
      <c r="I11" s="57" t="n"/>
      <c r="J11" s="57" t="n"/>
      <c r="K11" s="58" t="n">
        <v>0</v>
      </c>
      <c r="L11" s="59">
        <f>IF(NOT(ISNUMBER(C11)),"",TRIM(CONCATENATE(IF(AND('Audit Setup'!$C$20&gt;=C11,'Audit Setup'!$C$20&lt;=C11+4),"⚑ KICKOFF ",""),IF(AND('Audit Setup'!$C$21&gt;=C11,'Audit Setup'!$C$21&lt;=C11+4),"⚑ END OF PLANNING ",""),IF(AND('Audit Setup'!$C$22&gt;=C11,'Audit Setup'!$C$22&lt;=C11+4),"⚑ OUTLINE TO EXEC ",""),IF(AND('Audit Setup'!$C$23&gt;=C11,'Audit Setup'!$C$23&lt;=C11+4),"⚑ ON-TARGET ",""),IF(AND('Audit Setup'!$C$25&gt;=C11,'Audit Setup'!$C$25&lt;=C11+4),"⚑ DRAFT TO EXEC ",""),IF(AND('Audit Setup'!$C$26&gt;=C11,'Audit Setup'!$C$26&lt;=C11+4),"⚑ EXIT CONFERENCE ",""),IF(AND('Audit Setup'!$C$27&gt;=C11,'Audit Setup'!$C$27&lt;=C11+4),"⚑ MGMT RESPONSES DUE ",""),IF(AND('Audit Setup'!$C$32&gt;=C11,'Audit Setup'!$C$32&lt;=C11+4),"⚑ REPORT RELEASE ",""))))</f>
        <v/>
      </c>
    </row>
    <row r="12" hidden="1" ht="15" customHeight="1">
      <c r="A12" s="50">
        <f>IF(5&lt;='Audit Setup'!$B$12,"PL-"&amp;5,"")</f>
        <v/>
      </c>
      <c r="B12" s="35" t="inlineStr"/>
      <c r="C12" s="51">
        <f>C11+7</f>
        <v/>
      </c>
      <c r="D12" s="52" t="n">
        <v>0</v>
      </c>
      <c r="E12" s="53">
        <f>-COUNTIFS('Holidays &amp; Skeleton'!$B$5:$B$25,"&gt;="&amp;C12,'Holidays &amp; Skeleton'!$B$5:$B$25,"&lt;="&amp;(C12+4))*'Audit Setup'!$B$7</f>
        <v/>
      </c>
      <c r="F12" s="54">
        <f>-COUNTIFS('Holidays &amp; Skeleton'!$B$29:$B$36,"&gt;="&amp;C12,'Holidays &amp; Skeleton'!$B$29:$B$36,"&lt;="&amp;(C12+4))*'Audit Setup'!$B$7</f>
        <v/>
      </c>
      <c r="G12" s="55" t="n">
        <v>0</v>
      </c>
      <c r="H12" s="56">
        <f>CEILING(MAX(0,SUM(D12:G12)),1)</f>
        <v/>
      </c>
      <c r="I12" s="57" t="n"/>
      <c r="J12" s="57" t="n"/>
      <c r="K12" s="58" t="n">
        <v>0</v>
      </c>
      <c r="L12" s="59">
        <f>IF(NOT(ISNUMBER(C12)),"",TRIM(CONCATENATE(IF(AND('Audit Setup'!$C$20&gt;=C12,'Audit Setup'!$C$20&lt;=C12+4),"⚑ KICKOFF ",""),IF(AND('Audit Setup'!$C$21&gt;=C12,'Audit Setup'!$C$21&lt;=C12+4),"⚑ END OF PLANNING ",""),IF(AND('Audit Setup'!$C$22&gt;=C12,'Audit Setup'!$C$22&lt;=C12+4),"⚑ OUTLINE TO EXEC ",""),IF(AND('Audit Setup'!$C$23&gt;=C12,'Audit Setup'!$C$23&lt;=C12+4),"⚑ ON-TARGET ",""),IF(AND('Audit Setup'!$C$25&gt;=C12,'Audit Setup'!$C$25&lt;=C12+4),"⚑ DRAFT TO EXEC ",""),IF(AND('Audit Setup'!$C$26&gt;=C12,'Audit Setup'!$C$26&lt;=C12+4),"⚑ EXIT CONFERENCE ",""),IF(AND('Audit Setup'!$C$27&gt;=C12,'Audit Setup'!$C$27&lt;=C12+4),"⚑ MGMT RESPONSES DUE ",""),IF(AND('Audit Setup'!$C$32&gt;=C12,'Audit Setup'!$C$32&lt;=C12+4),"⚑ REPORT RELEASE ",""))))</f>
        <v/>
      </c>
    </row>
    <row r="13" hidden="1" ht="15" customHeight="1">
      <c r="A13" s="50">
        <f>IF(6&lt;='Audit Setup'!$B$12,"PL-"&amp;6,"")</f>
        <v/>
      </c>
      <c r="B13" s="35" t="inlineStr"/>
      <c r="C13" s="51">
        <f>C12+7</f>
        <v/>
      </c>
      <c r="D13" s="52" t="n">
        <v>0</v>
      </c>
      <c r="E13" s="53">
        <f>-COUNTIFS('Holidays &amp; Skeleton'!$B$5:$B$25,"&gt;="&amp;C13,'Holidays &amp; Skeleton'!$B$5:$B$25,"&lt;="&amp;(C13+4))*'Audit Setup'!$B$7</f>
        <v/>
      </c>
      <c r="F13" s="54">
        <f>-COUNTIFS('Holidays &amp; Skeleton'!$B$29:$B$36,"&gt;="&amp;C13,'Holidays &amp; Skeleton'!$B$29:$B$36,"&lt;="&amp;(C13+4))*'Audit Setup'!$B$7</f>
        <v/>
      </c>
      <c r="G13" s="55" t="n">
        <v>0</v>
      </c>
      <c r="H13" s="56">
        <f>CEILING(MAX(0,SUM(D13:G13)),1)</f>
        <v/>
      </c>
      <c r="I13" s="57" t="n"/>
      <c r="J13" s="57" t="n"/>
      <c r="K13" s="58" t="n">
        <v>0</v>
      </c>
      <c r="L13" s="59">
        <f>IF(NOT(ISNUMBER(C13)),"",TRIM(CONCATENATE(IF(AND('Audit Setup'!$C$20&gt;=C13,'Audit Setup'!$C$20&lt;=C13+4),"⚑ KICKOFF ",""),IF(AND('Audit Setup'!$C$21&gt;=C13,'Audit Setup'!$C$21&lt;=C13+4),"⚑ END OF PLANNING ",""),IF(AND('Audit Setup'!$C$22&gt;=C13,'Audit Setup'!$C$22&lt;=C13+4),"⚑ OUTLINE TO EXEC ",""),IF(AND('Audit Setup'!$C$23&gt;=C13,'Audit Setup'!$C$23&lt;=C13+4),"⚑ ON-TARGET ",""),IF(AND('Audit Setup'!$C$25&gt;=C13,'Audit Setup'!$C$25&lt;=C13+4),"⚑ DRAFT TO EXEC ",""),IF(AND('Audit Setup'!$C$26&gt;=C13,'Audit Setup'!$C$26&lt;=C13+4),"⚑ EXIT CONFERENCE ",""),IF(AND('Audit Setup'!$C$27&gt;=C13,'Audit Setup'!$C$27&lt;=C13+4),"⚑ MGMT RESPONSES DUE ",""),IF(AND('Audit Setup'!$C$32&gt;=C13,'Audit Setup'!$C$32&lt;=C13+4),"⚑ REPORT RELEASE ",""))))</f>
        <v/>
      </c>
    </row>
    <row r="14" hidden="1" ht="15" customHeight="1">
      <c r="A14" s="50">
        <f>IF(7&lt;='Audit Setup'!$B$12,"PL-"&amp;7,"")</f>
        <v/>
      </c>
      <c r="B14" s="35" t="inlineStr"/>
      <c r="C14" s="51">
        <f>C13+7</f>
        <v/>
      </c>
      <c r="D14" s="52" t="n">
        <v>0</v>
      </c>
      <c r="E14" s="53">
        <f>-COUNTIFS('Holidays &amp; Skeleton'!$B$5:$B$25,"&gt;="&amp;C14,'Holidays &amp; Skeleton'!$B$5:$B$25,"&lt;="&amp;(C14+4))*'Audit Setup'!$B$7</f>
        <v/>
      </c>
      <c r="F14" s="54">
        <f>-COUNTIFS('Holidays &amp; Skeleton'!$B$29:$B$36,"&gt;="&amp;C14,'Holidays &amp; Skeleton'!$B$29:$B$36,"&lt;="&amp;(C14+4))*'Audit Setup'!$B$7</f>
        <v/>
      </c>
      <c r="G14" s="55" t="n">
        <v>0</v>
      </c>
      <c r="H14" s="56">
        <f>CEILING(MAX(0,SUM(D14:G14)),1)</f>
        <v/>
      </c>
      <c r="I14" s="57" t="n"/>
      <c r="J14" s="57" t="n"/>
      <c r="K14" s="58" t="n">
        <v>0</v>
      </c>
      <c r="L14" s="59">
        <f>IF(NOT(ISNUMBER(C14)),"",TRIM(CONCATENATE(IF(AND('Audit Setup'!$C$20&gt;=C14,'Audit Setup'!$C$20&lt;=C14+4),"⚑ KICKOFF ",""),IF(AND('Audit Setup'!$C$21&gt;=C14,'Audit Setup'!$C$21&lt;=C14+4),"⚑ END OF PLANNING ",""),IF(AND('Audit Setup'!$C$22&gt;=C14,'Audit Setup'!$C$22&lt;=C14+4),"⚑ OUTLINE TO EXEC ",""),IF(AND('Audit Setup'!$C$23&gt;=C14,'Audit Setup'!$C$23&lt;=C14+4),"⚑ ON-TARGET ",""),IF(AND('Audit Setup'!$C$25&gt;=C14,'Audit Setup'!$C$25&lt;=C14+4),"⚑ DRAFT TO EXEC ",""),IF(AND('Audit Setup'!$C$26&gt;=C14,'Audit Setup'!$C$26&lt;=C14+4),"⚑ EXIT CONFERENCE ",""),IF(AND('Audit Setup'!$C$27&gt;=C14,'Audit Setup'!$C$27&lt;=C14+4),"⚑ MGMT RESPONSES DUE ",""),IF(AND('Audit Setup'!$C$32&gt;=C14,'Audit Setup'!$C$32&lt;=C14+4),"⚑ REPORT RELEASE ",""))))</f>
        <v/>
      </c>
    </row>
    <row r="15" hidden="1" ht="15" customHeight="1">
      <c r="A15" s="50">
        <f>IF(8&lt;='Audit Setup'!$B$12,"PL-"&amp;8,"")</f>
        <v/>
      </c>
      <c r="B15" s="35" t="inlineStr"/>
      <c r="C15" s="51">
        <f>C14+7</f>
        <v/>
      </c>
      <c r="D15" s="52" t="n">
        <v>0</v>
      </c>
      <c r="E15" s="53">
        <f>-COUNTIFS('Holidays &amp; Skeleton'!$B$5:$B$25,"&gt;="&amp;C15,'Holidays &amp; Skeleton'!$B$5:$B$25,"&lt;="&amp;(C15+4))*'Audit Setup'!$B$7</f>
        <v/>
      </c>
      <c r="F15" s="54">
        <f>-COUNTIFS('Holidays &amp; Skeleton'!$B$29:$B$36,"&gt;="&amp;C15,'Holidays &amp; Skeleton'!$B$29:$B$36,"&lt;="&amp;(C15+4))*'Audit Setup'!$B$7</f>
        <v/>
      </c>
      <c r="G15" s="55" t="n">
        <v>0</v>
      </c>
      <c r="H15" s="56">
        <f>CEILING(MAX(0,SUM(D15:G15)),1)</f>
        <v/>
      </c>
      <c r="I15" s="57" t="n"/>
      <c r="J15" s="57" t="n"/>
      <c r="K15" s="58" t="n">
        <v>0</v>
      </c>
      <c r="L15" s="59">
        <f>IF(NOT(ISNUMBER(C15)),"",TRIM(CONCATENATE(IF(AND('Audit Setup'!$C$20&gt;=C15,'Audit Setup'!$C$20&lt;=C15+4),"⚑ KICKOFF ",""),IF(AND('Audit Setup'!$C$21&gt;=C15,'Audit Setup'!$C$21&lt;=C15+4),"⚑ END OF PLANNING ",""),IF(AND('Audit Setup'!$C$22&gt;=C15,'Audit Setup'!$C$22&lt;=C15+4),"⚑ OUTLINE TO EXEC ",""),IF(AND('Audit Setup'!$C$23&gt;=C15,'Audit Setup'!$C$23&lt;=C15+4),"⚑ ON-TARGET ",""),IF(AND('Audit Setup'!$C$25&gt;=C15,'Audit Setup'!$C$25&lt;=C15+4),"⚑ DRAFT TO EXEC ",""),IF(AND('Audit Setup'!$C$26&gt;=C15,'Audit Setup'!$C$26&lt;=C15+4),"⚑ EXIT CONFERENCE ",""),IF(AND('Audit Setup'!$C$27&gt;=C15,'Audit Setup'!$C$27&lt;=C15+4),"⚑ MGMT RESPONSES DUE ",""),IF(AND('Audit Setup'!$C$32&gt;=C15,'Audit Setup'!$C$32&lt;=C15+4),"⚑ REPORT RELEASE ",""))))</f>
        <v/>
      </c>
    </row>
    <row r="16" hidden="1" ht="15" customHeight="1">
      <c r="A16" s="50">
        <f>IF(9&lt;='Audit Setup'!$B$12,"PL-"&amp;9,"")</f>
        <v/>
      </c>
      <c r="B16" s="35" t="inlineStr"/>
      <c r="C16" s="51">
        <f>C15+7</f>
        <v/>
      </c>
      <c r="D16" s="52" t="n">
        <v>0</v>
      </c>
      <c r="E16" s="53">
        <f>-COUNTIFS('Holidays &amp; Skeleton'!$B$5:$B$25,"&gt;="&amp;C16,'Holidays &amp; Skeleton'!$B$5:$B$25,"&lt;="&amp;(C16+4))*'Audit Setup'!$B$7</f>
        <v/>
      </c>
      <c r="F16" s="54">
        <f>-COUNTIFS('Holidays &amp; Skeleton'!$B$29:$B$36,"&gt;="&amp;C16,'Holidays &amp; Skeleton'!$B$29:$B$36,"&lt;="&amp;(C16+4))*'Audit Setup'!$B$7</f>
        <v/>
      </c>
      <c r="G16" s="55" t="n">
        <v>0</v>
      </c>
      <c r="H16" s="56">
        <f>CEILING(MAX(0,SUM(D16:G16)),1)</f>
        <v/>
      </c>
      <c r="I16" s="57" t="n"/>
      <c r="J16" s="57" t="n"/>
      <c r="K16" s="58" t="n">
        <v>0</v>
      </c>
      <c r="L16" s="59">
        <f>IF(NOT(ISNUMBER(C16)),"",TRIM(CONCATENATE(IF(AND('Audit Setup'!$C$20&gt;=C16,'Audit Setup'!$C$20&lt;=C16+4),"⚑ KICKOFF ",""),IF(AND('Audit Setup'!$C$21&gt;=C16,'Audit Setup'!$C$21&lt;=C16+4),"⚑ END OF PLANNING ",""),IF(AND('Audit Setup'!$C$22&gt;=C16,'Audit Setup'!$C$22&lt;=C16+4),"⚑ OUTLINE TO EXEC ",""),IF(AND('Audit Setup'!$C$23&gt;=C16,'Audit Setup'!$C$23&lt;=C16+4),"⚑ ON-TARGET ",""),IF(AND('Audit Setup'!$C$25&gt;=C16,'Audit Setup'!$C$25&lt;=C16+4),"⚑ DRAFT TO EXEC ",""),IF(AND('Audit Setup'!$C$26&gt;=C16,'Audit Setup'!$C$26&lt;=C16+4),"⚑ EXIT CONFERENCE ",""),IF(AND('Audit Setup'!$C$27&gt;=C16,'Audit Setup'!$C$27&lt;=C16+4),"⚑ MGMT RESPONSES DUE ",""),IF(AND('Audit Setup'!$C$32&gt;=C16,'Audit Setup'!$C$32&lt;=C16+4),"⚑ REPORT RELEASE ",""))))</f>
        <v/>
      </c>
    </row>
    <row r="17" hidden="1" ht="15" customHeight="1">
      <c r="A17" s="50">
        <f>IF(10&lt;='Audit Setup'!$B$12,"PL-"&amp;10,"")</f>
        <v/>
      </c>
      <c r="B17" s="35" t="inlineStr"/>
      <c r="C17" s="51">
        <f>C16+7</f>
        <v/>
      </c>
      <c r="D17" s="52" t="n">
        <v>0</v>
      </c>
      <c r="E17" s="53">
        <f>-COUNTIFS('Holidays &amp; Skeleton'!$B$5:$B$25,"&gt;="&amp;C17,'Holidays &amp; Skeleton'!$B$5:$B$25,"&lt;="&amp;(C17+4))*'Audit Setup'!$B$7</f>
        <v/>
      </c>
      <c r="F17" s="54">
        <f>-COUNTIFS('Holidays &amp; Skeleton'!$B$29:$B$36,"&gt;="&amp;C17,'Holidays &amp; Skeleton'!$B$29:$B$36,"&lt;="&amp;(C17+4))*'Audit Setup'!$B$7</f>
        <v/>
      </c>
      <c r="G17" s="55" t="n">
        <v>0</v>
      </c>
      <c r="H17" s="56">
        <f>CEILING(MAX(0,SUM(D17:G17)),1)</f>
        <v/>
      </c>
      <c r="I17" s="57" t="n"/>
      <c r="J17" s="57" t="n"/>
      <c r="K17" s="58" t="n">
        <v>0</v>
      </c>
      <c r="L17" s="59">
        <f>IF(NOT(ISNUMBER(C17)),"",TRIM(CONCATENATE(IF(AND('Audit Setup'!$C$20&gt;=C17,'Audit Setup'!$C$20&lt;=C17+4),"⚑ KICKOFF ",""),IF(AND('Audit Setup'!$C$21&gt;=C17,'Audit Setup'!$C$21&lt;=C17+4),"⚑ END OF PLANNING ",""),IF(AND('Audit Setup'!$C$22&gt;=C17,'Audit Setup'!$C$22&lt;=C17+4),"⚑ OUTLINE TO EXEC ",""),IF(AND('Audit Setup'!$C$23&gt;=C17,'Audit Setup'!$C$23&lt;=C17+4),"⚑ ON-TARGET ",""),IF(AND('Audit Setup'!$C$25&gt;=C17,'Audit Setup'!$C$25&lt;=C17+4),"⚑ DRAFT TO EXEC ",""),IF(AND('Audit Setup'!$C$26&gt;=C17,'Audit Setup'!$C$26&lt;=C17+4),"⚑ EXIT CONFERENCE ",""),IF(AND('Audit Setup'!$C$27&gt;=C17,'Audit Setup'!$C$27&lt;=C17+4),"⚑ MGMT RESPONSES DUE ",""),IF(AND('Audit Setup'!$C$32&gt;=C17,'Audit Setup'!$C$32&lt;=C17+4),"⚑ REPORT RELEASE ",""))))</f>
        <v/>
      </c>
    </row>
    <row r="18" hidden="1" ht="15" customHeight="1">
      <c r="A18" s="50">
        <f>IF(11&lt;='Audit Setup'!$B$12,"PL-"&amp;11,"")</f>
        <v/>
      </c>
      <c r="B18" s="35" t="inlineStr"/>
      <c r="C18" s="51">
        <f>C17+7</f>
        <v/>
      </c>
      <c r="D18" s="52" t="n">
        <v>0</v>
      </c>
      <c r="E18" s="53">
        <f>-COUNTIFS('Holidays &amp; Skeleton'!$B$5:$B$25,"&gt;="&amp;C18,'Holidays &amp; Skeleton'!$B$5:$B$25,"&lt;="&amp;(C18+4))*'Audit Setup'!$B$7</f>
        <v/>
      </c>
      <c r="F18" s="54">
        <f>-COUNTIFS('Holidays &amp; Skeleton'!$B$29:$B$36,"&gt;="&amp;C18,'Holidays &amp; Skeleton'!$B$29:$B$36,"&lt;="&amp;(C18+4))*'Audit Setup'!$B$7</f>
        <v/>
      </c>
      <c r="G18" s="55" t="n">
        <v>0</v>
      </c>
      <c r="H18" s="56">
        <f>CEILING(MAX(0,SUM(D18:G18)),1)</f>
        <v/>
      </c>
      <c r="I18" s="57" t="n"/>
      <c r="J18" s="57" t="n"/>
      <c r="K18" s="58" t="n">
        <v>0</v>
      </c>
      <c r="L18" s="59">
        <f>IF(NOT(ISNUMBER(C18)),"",TRIM(CONCATENATE(IF(AND('Audit Setup'!$C$20&gt;=C18,'Audit Setup'!$C$20&lt;=C18+4),"⚑ KICKOFF ",""),IF(AND('Audit Setup'!$C$21&gt;=C18,'Audit Setup'!$C$21&lt;=C18+4),"⚑ END OF PLANNING ",""),IF(AND('Audit Setup'!$C$22&gt;=C18,'Audit Setup'!$C$22&lt;=C18+4),"⚑ OUTLINE TO EXEC ",""),IF(AND('Audit Setup'!$C$23&gt;=C18,'Audit Setup'!$C$23&lt;=C18+4),"⚑ ON-TARGET ",""),IF(AND('Audit Setup'!$C$25&gt;=C18,'Audit Setup'!$C$25&lt;=C18+4),"⚑ DRAFT TO EXEC ",""),IF(AND('Audit Setup'!$C$26&gt;=C18,'Audit Setup'!$C$26&lt;=C18+4),"⚑ EXIT CONFERENCE ",""),IF(AND('Audit Setup'!$C$27&gt;=C18,'Audit Setup'!$C$27&lt;=C18+4),"⚑ MGMT RESPONSES DUE ",""),IF(AND('Audit Setup'!$C$32&gt;=C18,'Audit Setup'!$C$32&lt;=C18+4),"⚑ REPORT RELEASE ",""))))</f>
        <v/>
      </c>
    </row>
    <row r="19" hidden="1" ht="15" customHeight="1">
      <c r="A19" s="50">
        <f>IF(12&lt;='Audit Setup'!$B$12,"PL-"&amp;12,"")</f>
        <v/>
      </c>
      <c r="B19" s="35" t="inlineStr"/>
      <c r="C19" s="51">
        <f>C18+7</f>
        <v/>
      </c>
      <c r="D19" s="52" t="n">
        <v>0</v>
      </c>
      <c r="E19" s="53">
        <f>-COUNTIFS('Holidays &amp; Skeleton'!$B$5:$B$25,"&gt;="&amp;C19,'Holidays &amp; Skeleton'!$B$5:$B$25,"&lt;="&amp;(C19+4))*'Audit Setup'!$B$7</f>
        <v/>
      </c>
      <c r="F19" s="54">
        <f>-COUNTIFS('Holidays &amp; Skeleton'!$B$29:$B$36,"&gt;="&amp;C19,'Holidays &amp; Skeleton'!$B$29:$B$36,"&lt;="&amp;(C19+4))*'Audit Setup'!$B$7</f>
        <v/>
      </c>
      <c r="G19" s="55" t="n">
        <v>0</v>
      </c>
      <c r="H19" s="56">
        <f>CEILING(MAX(0,SUM(D19:G19)),1)</f>
        <v/>
      </c>
      <c r="I19" s="57" t="n"/>
      <c r="J19" s="57" t="n"/>
      <c r="K19" s="58" t="n">
        <v>0</v>
      </c>
      <c r="L19" s="59">
        <f>IF(NOT(ISNUMBER(C19)),"",TRIM(CONCATENATE(IF(AND('Audit Setup'!$C$20&gt;=C19,'Audit Setup'!$C$20&lt;=C19+4),"⚑ KICKOFF ",""),IF(AND('Audit Setup'!$C$21&gt;=C19,'Audit Setup'!$C$21&lt;=C19+4),"⚑ END OF PLANNING ",""),IF(AND('Audit Setup'!$C$22&gt;=C19,'Audit Setup'!$C$22&lt;=C19+4),"⚑ OUTLINE TO EXEC ",""),IF(AND('Audit Setup'!$C$23&gt;=C19,'Audit Setup'!$C$23&lt;=C19+4),"⚑ ON-TARGET ",""),IF(AND('Audit Setup'!$C$25&gt;=C19,'Audit Setup'!$C$25&lt;=C19+4),"⚑ DRAFT TO EXEC ",""),IF(AND('Audit Setup'!$C$26&gt;=C19,'Audit Setup'!$C$26&lt;=C19+4),"⚑ EXIT CONFERENCE ",""),IF(AND('Audit Setup'!$C$27&gt;=C19,'Audit Setup'!$C$27&lt;=C19+4),"⚑ MGMT RESPONSES DUE ",""),IF(AND('Audit Setup'!$C$32&gt;=C19,'Audit Setup'!$C$32&lt;=C19+4),"⚑ REPORT RELEASE ",""))))</f>
        <v/>
      </c>
    </row>
    <row r="20" hidden="1" ht="15" customHeight="1">
      <c r="A20" s="50">
        <f>IF(13&lt;='Audit Setup'!$B$12,"PL-"&amp;13,"")</f>
        <v/>
      </c>
      <c r="B20" s="35" t="inlineStr"/>
      <c r="C20" s="51">
        <f>C19+7</f>
        <v/>
      </c>
      <c r="D20" s="52" t="n">
        <v>0</v>
      </c>
      <c r="E20" s="53">
        <f>-COUNTIFS('Holidays &amp; Skeleton'!$B$5:$B$25,"&gt;="&amp;C20,'Holidays &amp; Skeleton'!$B$5:$B$25,"&lt;="&amp;(C20+4))*'Audit Setup'!$B$7</f>
        <v/>
      </c>
      <c r="F20" s="54">
        <f>-COUNTIFS('Holidays &amp; Skeleton'!$B$29:$B$36,"&gt;="&amp;C20,'Holidays &amp; Skeleton'!$B$29:$B$36,"&lt;="&amp;(C20+4))*'Audit Setup'!$B$7</f>
        <v/>
      </c>
      <c r="G20" s="55" t="n">
        <v>0</v>
      </c>
      <c r="H20" s="56">
        <f>CEILING(MAX(0,SUM(D20:G20)),1)</f>
        <v/>
      </c>
      <c r="I20" s="57" t="n"/>
      <c r="J20" s="57" t="n"/>
      <c r="K20" s="58" t="n">
        <v>0</v>
      </c>
      <c r="L20" s="59">
        <f>IF(NOT(ISNUMBER(C20)),"",TRIM(CONCATENATE(IF(AND('Audit Setup'!$C$20&gt;=C20,'Audit Setup'!$C$20&lt;=C20+4),"⚑ KICKOFF ",""),IF(AND('Audit Setup'!$C$21&gt;=C20,'Audit Setup'!$C$21&lt;=C20+4),"⚑ END OF PLANNING ",""),IF(AND('Audit Setup'!$C$22&gt;=C20,'Audit Setup'!$C$22&lt;=C20+4),"⚑ OUTLINE TO EXEC ",""),IF(AND('Audit Setup'!$C$23&gt;=C20,'Audit Setup'!$C$23&lt;=C20+4),"⚑ ON-TARGET ",""),IF(AND('Audit Setup'!$C$25&gt;=C20,'Audit Setup'!$C$25&lt;=C20+4),"⚑ DRAFT TO EXEC ",""),IF(AND('Audit Setup'!$C$26&gt;=C20,'Audit Setup'!$C$26&lt;=C20+4),"⚑ EXIT CONFERENCE ",""),IF(AND('Audit Setup'!$C$27&gt;=C20,'Audit Setup'!$C$27&lt;=C20+4),"⚑ MGMT RESPONSES DUE ",""),IF(AND('Audit Setup'!$C$32&gt;=C20,'Audit Setup'!$C$32&lt;=C20+4),"⚑ REPORT RELEASE ",""))))</f>
        <v/>
      </c>
    </row>
    <row r="21" hidden="1" ht="15" customHeight="1">
      <c r="A21" s="50">
        <f>IF(14&lt;='Audit Setup'!$B$12,"PL-"&amp;14,"")</f>
        <v/>
      </c>
      <c r="B21" s="35" t="inlineStr"/>
      <c r="C21" s="51">
        <f>C20+7</f>
        <v/>
      </c>
      <c r="D21" s="52" t="n">
        <v>0</v>
      </c>
      <c r="E21" s="53">
        <f>-COUNTIFS('Holidays &amp; Skeleton'!$B$5:$B$25,"&gt;="&amp;C21,'Holidays &amp; Skeleton'!$B$5:$B$25,"&lt;="&amp;(C21+4))*'Audit Setup'!$B$7</f>
        <v/>
      </c>
      <c r="F21" s="54">
        <f>-COUNTIFS('Holidays &amp; Skeleton'!$B$29:$B$36,"&gt;="&amp;C21,'Holidays &amp; Skeleton'!$B$29:$B$36,"&lt;="&amp;(C21+4))*'Audit Setup'!$B$7</f>
        <v/>
      </c>
      <c r="G21" s="55" t="n">
        <v>0</v>
      </c>
      <c r="H21" s="56">
        <f>CEILING(MAX(0,SUM(D21:G21)),1)</f>
        <v/>
      </c>
      <c r="I21" s="57" t="n"/>
      <c r="J21" s="57" t="n"/>
      <c r="K21" s="58" t="n">
        <v>0</v>
      </c>
      <c r="L21" s="59">
        <f>IF(NOT(ISNUMBER(C21)),"",TRIM(CONCATENATE(IF(AND('Audit Setup'!$C$20&gt;=C21,'Audit Setup'!$C$20&lt;=C21+4),"⚑ KICKOFF ",""),IF(AND('Audit Setup'!$C$21&gt;=C21,'Audit Setup'!$C$21&lt;=C21+4),"⚑ END OF PLANNING ",""),IF(AND('Audit Setup'!$C$22&gt;=C21,'Audit Setup'!$C$22&lt;=C21+4),"⚑ OUTLINE TO EXEC ",""),IF(AND('Audit Setup'!$C$23&gt;=C21,'Audit Setup'!$C$23&lt;=C21+4),"⚑ ON-TARGET ",""),IF(AND('Audit Setup'!$C$25&gt;=C21,'Audit Setup'!$C$25&lt;=C21+4),"⚑ DRAFT TO EXEC ",""),IF(AND('Audit Setup'!$C$26&gt;=C21,'Audit Setup'!$C$26&lt;=C21+4),"⚑ EXIT CONFERENCE ",""),IF(AND('Audit Setup'!$C$27&gt;=C21,'Audit Setup'!$C$27&lt;=C21+4),"⚑ MGMT RESPONSES DUE ",""),IF(AND('Audit Setup'!$C$32&gt;=C21,'Audit Setup'!$C$32&lt;=C21+4),"⚑ REPORT RELEASE ",""))))</f>
        <v/>
      </c>
    </row>
    <row r="22" hidden="1" ht="15" customHeight="1">
      <c r="A22" s="50">
        <f>IF(15&lt;='Audit Setup'!$B$12,"PL-"&amp;15,"")</f>
        <v/>
      </c>
      <c r="B22" s="35" t="inlineStr"/>
      <c r="C22" s="51">
        <f>C21+7</f>
        <v/>
      </c>
      <c r="D22" s="52" t="n">
        <v>0</v>
      </c>
      <c r="E22" s="53">
        <f>-COUNTIFS('Holidays &amp; Skeleton'!$B$5:$B$25,"&gt;="&amp;C22,'Holidays &amp; Skeleton'!$B$5:$B$25,"&lt;="&amp;(C22+4))*'Audit Setup'!$B$7</f>
        <v/>
      </c>
      <c r="F22" s="54">
        <f>-COUNTIFS('Holidays &amp; Skeleton'!$B$29:$B$36,"&gt;="&amp;C22,'Holidays &amp; Skeleton'!$B$29:$B$36,"&lt;="&amp;(C22+4))*'Audit Setup'!$B$7</f>
        <v/>
      </c>
      <c r="G22" s="55" t="n">
        <v>0</v>
      </c>
      <c r="H22" s="56">
        <f>CEILING(MAX(0,SUM(D22:G22)),1)</f>
        <v/>
      </c>
      <c r="I22" s="57" t="n"/>
      <c r="J22" s="57" t="n"/>
      <c r="K22" s="58" t="n">
        <v>0</v>
      </c>
      <c r="L22" s="59">
        <f>IF(NOT(ISNUMBER(C22)),"",TRIM(CONCATENATE(IF(AND('Audit Setup'!$C$20&gt;=C22,'Audit Setup'!$C$20&lt;=C22+4),"⚑ KICKOFF ",""),IF(AND('Audit Setup'!$C$21&gt;=C22,'Audit Setup'!$C$21&lt;=C22+4),"⚑ END OF PLANNING ",""),IF(AND('Audit Setup'!$C$22&gt;=C22,'Audit Setup'!$C$22&lt;=C22+4),"⚑ OUTLINE TO EXEC ",""),IF(AND('Audit Setup'!$C$23&gt;=C22,'Audit Setup'!$C$23&lt;=C22+4),"⚑ ON-TARGET ",""),IF(AND('Audit Setup'!$C$25&gt;=C22,'Audit Setup'!$C$25&lt;=C22+4),"⚑ DRAFT TO EXEC ",""),IF(AND('Audit Setup'!$C$26&gt;=C22,'Audit Setup'!$C$26&lt;=C22+4),"⚑ EXIT CONFERENCE ",""),IF(AND('Audit Setup'!$C$27&gt;=C22,'Audit Setup'!$C$27&lt;=C22+4),"⚑ MGMT RESPONSES DUE ",""),IF(AND('Audit Setup'!$C$32&gt;=C22,'Audit Setup'!$C$32&lt;=C22+4),"⚑ REPORT RELEASE ",""))))</f>
        <v/>
      </c>
    </row>
    <row r="23" hidden="1" ht="15" customHeight="1">
      <c r="A23" s="50">
        <f>IF(16&lt;='Audit Setup'!$B$12,"PL-"&amp;16,"")</f>
        <v/>
      </c>
      <c r="B23" s="35" t="inlineStr"/>
      <c r="C23" s="51">
        <f>C22+7</f>
        <v/>
      </c>
      <c r="D23" s="52" t="n">
        <v>0</v>
      </c>
      <c r="E23" s="53">
        <f>-COUNTIFS('Holidays &amp; Skeleton'!$B$5:$B$25,"&gt;="&amp;C23,'Holidays &amp; Skeleton'!$B$5:$B$25,"&lt;="&amp;(C23+4))*'Audit Setup'!$B$7</f>
        <v/>
      </c>
      <c r="F23" s="54">
        <f>-COUNTIFS('Holidays &amp; Skeleton'!$B$29:$B$36,"&gt;="&amp;C23,'Holidays &amp; Skeleton'!$B$29:$B$36,"&lt;="&amp;(C23+4))*'Audit Setup'!$B$7</f>
        <v/>
      </c>
      <c r="G23" s="55" t="n">
        <v>0</v>
      </c>
      <c r="H23" s="56">
        <f>CEILING(MAX(0,SUM(D23:G23)),1)</f>
        <v/>
      </c>
      <c r="I23" s="57" t="n"/>
      <c r="J23" s="57" t="n"/>
      <c r="K23" s="58" t="n">
        <v>0</v>
      </c>
      <c r="L23" s="59">
        <f>IF(NOT(ISNUMBER(C23)),"",TRIM(CONCATENATE(IF(AND('Audit Setup'!$C$20&gt;=C23,'Audit Setup'!$C$20&lt;=C23+4),"⚑ KICKOFF ",""),IF(AND('Audit Setup'!$C$21&gt;=C23,'Audit Setup'!$C$21&lt;=C23+4),"⚑ END OF PLANNING ",""),IF(AND('Audit Setup'!$C$22&gt;=C23,'Audit Setup'!$C$22&lt;=C23+4),"⚑ OUTLINE TO EXEC ",""),IF(AND('Audit Setup'!$C$23&gt;=C23,'Audit Setup'!$C$23&lt;=C23+4),"⚑ ON-TARGET ",""),IF(AND('Audit Setup'!$C$25&gt;=C23,'Audit Setup'!$C$25&lt;=C23+4),"⚑ DRAFT TO EXEC ",""),IF(AND('Audit Setup'!$C$26&gt;=C23,'Audit Setup'!$C$26&lt;=C23+4),"⚑ EXIT CONFERENCE ",""),IF(AND('Audit Setup'!$C$27&gt;=C23,'Audit Setup'!$C$27&lt;=C23+4),"⚑ MGMT RESPONSES DUE ",""),IF(AND('Audit Setup'!$C$32&gt;=C23,'Audit Setup'!$C$32&lt;=C23+4),"⚑ REPORT RELEASE ",""))))</f>
        <v/>
      </c>
    </row>
    <row r="24" hidden="1" ht="15" customHeight="1">
      <c r="A24" s="50">
        <f>IF(17&lt;='Audit Setup'!$B$12,"PL-"&amp;17,"")</f>
        <v/>
      </c>
      <c r="B24" s="35" t="inlineStr"/>
      <c r="C24" s="51">
        <f>C23+7</f>
        <v/>
      </c>
      <c r="D24" s="52" t="n">
        <v>0</v>
      </c>
      <c r="E24" s="53">
        <f>-COUNTIFS('Holidays &amp; Skeleton'!$B$5:$B$25,"&gt;="&amp;C24,'Holidays &amp; Skeleton'!$B$5:$B$25,"&lt;="&amp;(C24+4))*'Audit Setup'!$B$7</f>
        <v/>
      </c>
      <c r="F24" s="54">
        <f>-COUNTIFS('Holidays &amp; Skeleton'!$B$29:$B$36,"&gt;="&amp;C24,'Holidays &amp; Skeleton'!$B$29:$B$36,"&lt;="&amp;(C24+4))*'Audit Setup'!$B$7</f>
        <v/>
      </c>
      <c r="G24" s="55" t="n">
        <v>0</v>
      </c>
      <c r="H24" s="56">
        <f>CEILING(MAX(0,SUM(D24:G24)),1)</f>
        <v/>
      </c>
      <c r="I24" s="57" t="n"/>
      <c r="J24" s="57" t="n"/>
      <c r="K24" s="58" t="n">
        <v>0</v>
      </c>
      <c r="L24" s="59">
        <f>IF(NOT(ISNUMBER(C24)),"",TRIM(CONCATENATE(IF(AND('Audit Setup'!$C$20&gt;=C24,'Audit Setup'!$C$20&lt;=C24+4),"⚑ KICKOFF ",""),IF(AND('Audit Setup'!$C$21&gt;=C24,'Audit Setup'!$C$21&lt;=C24+4),"⚑ END OF PLANNING ",""),IF(AND('Audit Setup'!$C$22&gt;=C24,'Audit Setup'!$C$22&lt;=C24+4),"⚑ OUTLINE TO EXEC ",""),IF(AND('Audit Setup'!$C$23&gt;=C24,'Audit Setup'!$C$23&lt;=C24+4),"⚑ ON-TARGET ",""),IF(AND('Audit Setup'!$C$25&gt;=C24,'Audit Setup'!$C$25&lt;=C24+4),"⚑ DRAFT TO EXEC ",""),IF(AND('Audit Setup'!$C$26&gt;=C24,'Audit Setup'!$C$26&lt;=C24+4),"⚑ EXIT CONFERENCE ",""),IF(AND('Audit Setup'!$C$27&gt;=C24,'Audit Setup'!$C$27&lt;=C24+4),"⚑ MGMT RESPONSES DUE ",""),IF(AND('Audit Setup'!$C$32&gt;=C24,'Audit Setup'!$C$32&lt;=C24+4),"⚑ REPORT RELEASE ",""))))</f>
        <v/>
      </c>
    </row>
    <row r="25" hidden="1" ht="15" customHeight="1">
      <c r="A25" s="50">
        <f>IF(18&lt;='Audit Setup'!$B$12,"PL-"&amp;18,"")</f>
        <v/>
      </c>
      <c r="B25" s="35" t="inlineStr"/>
      <c r="C25" s="51">
        <f>C24+7</f>
        <v/>
      </c>
      <c r="D25" s="52" t="n">
        <v>0</v>
      </c>
      <c r="E25" s="53">
        <f>-COUNTIFS('Holidays &amp; Skeleton'!$B$5:$B$25,"&gt;="&amp;C25,'Holidays &amp; Skeleton'!$B$5:$B$25,"&lt;="&amp;(C25+4))*'Audit Setup'!$B$7</f>
        <v/>
      </c>
      <c r="F25" s="54">
        <f>-COUNTIFS('Holidays &amp; Skeleton'!$B$29:$B$36,"&gt;="&amp;C25,'Holidays &amp; Skeleton'!$B$29:$B$36,"&lt;="&amp;(C25+4))*'Audit Setup'!$B$7</f>
        <v/>
      </c>
      <c r="G25" s="55" t="n">
        <v>0</v>
      </c>
      <c r="H25" s="56">
        <f>CEILING(MAX(0,SUM(D25:G25)),1)</f>
        <v/>
      </c>
      <c r="I25" s="57" t="n"/>
      <c r="J25" s="57" t="n"/>
      <c r="K25" s="58" t="n">
        <v>0</v>
      </c>
      <c r="L25" s="59">
        <f>IF(NOT(ISNUMBER(C25)),"",TRIM(CONCATENATE(IF(AND('Audit Setup'!$C$20&gt;=C25,'Audit Setup'!$C$20&lt;=C25+4),"⚑ KICKOFF ",""),IF(AND('Audit Setup'!$C$21&gt;=C25,'Audit Setup'!$C$21&lt;=C25+4),"⚑ END OF PLANNING ",""),IF(AND('Audit Setup'!$C$22&gt;=C25,'Audit Setup'!$C$22&lt;=C25+4),"⚑ OUTLINE TO EXEC ",""),IF(AND('Audit Setup'!$C$23&gt;=C25,'Audit Setup'!$C$23&lt;=C25+4),"⚑ ON-TARGET ",""),IF(AND('Audit Setup'!$C$25&gt;=C25,'Audit Setup'!$C$25&lt;=C25+4),"⚑ DRAFT TO EXEC ",""),IF(AND('Audit Setup'!$C$26&gt;=C25,'Audit Setup'!$C$26&lt;=C25+4),"⚑ EXIT CONFERENCE ",""),IF(AND('Audit Setup'!$C$27&gt;=C25,'Audit Setup'!$C$27&lt;=C25+4),"⚑ MGMT RESPONSES DUE ",""),IF(AND('Audit Setup'!$C$32&gt;=C25,'Audit Setup'!$C$32&lt;=C25+4),"⚑ REPORT RELEASE ",""))))</f>
        <v/>
      </c>
    </row>
    <row r="26" hidden="1" ht="15" customHeight="1">
      <c r="A26" s="50">
        <f>IF(19&lt;='Audit Setup'!$B$12,"PL-"&amp;19,"")</f>
        <v/>
      </c>
      <c r="B26" s="35" t="inlineStr"/>
      <c r="C26" s="51">
        <f>C25+7</f>
        <v/>
      </c>
      <c r="D26" s="52" t="n">
        <v>0</v>
      </c>
      <c r="E26" s="53">
        <f>-COUNTIFS('Holidays &amp; Skeleton'!$B$5:$B$25,"&gt;="&amp;C26,'Holidays &amp; Skeleton'!$B$5:$B$25,"&lt;="&amp;(C26+4))*'Audit Setup'!$B$7</f>
        <v/>
      </c>
      <c r="F26" s="54">
        <f>-COUNTIFS('Holidays &amp; Skeleton'!$B$29:$B$36,"&gt;="&amp;C26,'Holidays &amp; Skeleton'!$B$29:$B$36,"&lt;="&amp;(C26+4))*'Audit Setup'!$B$7</f>
        <v/>
      </c>
      <c r="G26" s="55" t="n">
        <v>0</v>
      </c>
      <c r="H26" s="56">
        <f>CEILING(MAX(0,SUM(D26:G26)),1)</f>
        <v/>
      </c>
      <c r="I26" s="57" t="n"/>
      <c r="J26" s="57" t="n"/>
      <c r="K26" s="58" t="n">
        <v>0</v>
      </c>
      <c r="L26" s="59">
        <f>IF(NOT(ISNUMBER(C26)),"",TRIM(CONCATENATE(IF(AND('Audit Setup'!$C$20&gt;=C26,'Audit Setup'!$C$20&lt;=C26+4),"⚑ KICKOFF ",""),IF(AND('Audit Setup'!$C$21&gt;=C26,'Audit Setup'!$C$21&lt;=C26+4),"⚑ END OF PLANNING ",""),IF(AND('Audit Setup'!$C$22&gt;=C26,'Audit Setup'!$C$22&lt;=C26+4),"⚑ OUTLINE TO EXEC ",""),IF(AND('Audit Setup'!$C$23&gt;=C26,'Audit Setup'!$C$23&lt;=C26+4),"⚑ ON-TARGET ",""),IF(AND('Audit Setup'!$C$25&gt;=C26,'Audit Setup'!$C$25&lt;=C26+4),"⚑ DRAFT TO EXEC ",""),IF(AND('Audit Setup'!$C$26&gt;=C26,'Audit Setup'!$C$26&lt;=C26+4),"⚑ EXIT CONFERENCE ",""),IF(AND('Audit Setup'!$C$27&gt;=C26,'Audit Setup'!$C$27&lt;=C26+4),"⚑ MGMT RESPONSES DUE ",""),IF(AND('Audit Setup'!$C$32&gt;=C26,'Audit Setup'!$C$32&lt;=C26+4),"⚑ REPORT RELEASE ",""))))</f>
        <v/>
      </c>
    </row>
    <row r="27" hidden="1" ht="15" customHeight="1">
      <c r="A27" s="50">
        <f>IF(20&lt;='Audit Setup'!$B$12,"PL-"&amp;20,"")</f>
        <v/>
      </c>
      <c r="B27" s="35" t="inlineStr"/>
      <c r="C27" s="51">
        <f>C26+7</f>
        <v/>
      </c>
      <c r="D27" s="52" t="n">
        <v>0</v>
      </c>
      <c r="E27" s="53">
        <f>-COUNTIFS('Holidays &amp; Skeleton'!$B$5:$B$25,"&gt;="&amp;C27,'Holidays &amp; Skeleton'!$B$5:$B$25,"&lt;="&amp;(C27+4))*'Audit Setup'!$B$7</f>
        <v/>
      </c>
      <c r="F27" s="54">
        <f>-COUNTIFS('Holidays &amp; Skeleton'!$B$29:$B$36,"&gt;="&amp;C27,'Holidays &amp; Skeleton'!$B$29:$B$36,"&lt;="&amp;(C27+4))*'Audit Setup'!$B$7</f>
        <v/>
      </c>
      <c r="G27" s="55" t="n">
        <v>0</v>
      </c>
      <c r="H27" s="56">
        <f>CEILING(MAX(0,SUM(D27:G27)),1)</f>
        <v/>
      </c>
      <c r="I27" s="57" t="n"/>
      <c r="J27" s="57" t="n"/>
      <c r="K27" s="58" t="n">
        <v>0</v>
      </c>
      <c r="L27" s="59">
        <f>IF(NOT(ISNUMBER(C27)),"",TRIM(CONCATENATE(IF(AND('Audit Setup'!$C$20&gt;=C27,'Audit Setup'!$C$20&lt;=C27+4),"⚑ KICKOFF ",""),IF(AND('Audit Setup'!$C$21&gt;=C27,'Audit Setup'!$C$21&lt;=C27+4),"⚑ END OF PLANNING ",""),IF(AND('Audit Setup'!$C$22&gt;=C27,'Audit Setup'!$C$22&lt;=C27+4),"⚑ OUTLINE TO EXEC ",""),IF(AND('Audit Setup'!$C$23&gt;=C27,'Audit Setup'!$C$23&lt;=C27+4),"⚑ ON-TARGET ",""),IF(AND('Audit Setup'!$C$25&gt;=C27,'Audit Setup'!$C$25&lt;=C27+4),"⚑ DRAFT TO EXEC ",""),IF(AND('Audit Setup'!$C$26&gt;=C27,'Audit Setup'!$C$26&lt;=C27+4),"⚑ EXIT CONFERENCE ",""),IF(AND('Audit Setup'!$C$27&gt;=C27,'Audit Setup'!$C$27&lt;=C27+4),"⚑ MGMT RESPONSES DUE ",""),IF(AND('Audit Setup'!$C$32&gt;=C27,'Audit Setup'!$C$32&lt;=C27+4),"⚑ REPORT RELEASE ",""))))</f>
        <v/>
      </c>
    </row>
    <row r="28" hidden="1" ht="15" customHeight="1">
      <c r="A28" s="50">
        <f>IF(21&lt;='Audit Setup'!$B$12,"PL-"&amp;21,"")</f>
        <v/>
      </c>
      <c r="B28" s="35" t="inlineStr"/>
      <c r="C28" s="51">
        <f>C27+7</f>
        <v/>
      </c>
      <c r="D28" s="52" t="n">
        <v>0</v>
      </c>
      <c r="E28" s="53">
        <f>-COUNTIFS('Holidays &amp; Skeleton'!$B$5:$B$25,"&gt;="&amp;C28,'Holidays &amp; Skeleton'!$B$5:$B$25,"&lt;="&amp;(C28+4))*'Audit Setup'!$B$7</f>
        <v/>
      </c>
      <c r="F28" s="54">
        <f>-COUNTIFS('Holidays &amp; Skeleton'!$B$29:$B$36,"&gt;="&amp;C28,'Holidays &amp; Skeleton'!$B$29:$B$36,"&lt;="&amp;(C28+4))*'Audit Setup'!$B$7</f>
        <v/>
      </c>
      <c r="G28" s="55" t="n">
        <v>0</v>
      </c>
      <c r="H28" s="56">
        <f>CEILING(MAX(0,SUM(D28:G28)),1)</f>
        <v/>
      </c>
      <c r="I28" s="57" t="n"/>
      <c r="J28" s="57" t="n"/>
      <c r="K28" s="58" t="n">
        <v>0</v>
      </c>
      <c r="L28" s="59">
        <f>IF(NOT(ISNUMBER(C28)),"",TRIM(CONCATENATE(IF(AND('Audit Setup'!$C$20&gt;=C28,'Audit Setup'!$C$20&lt;=C28+4),"⚑ KICKOFF ",""),IF(AND('Audit Setup'!$C$21&gt;=C28,'Audit Setup'!$C$21&lt;=C28+4),"⚑ END OF PLANNING ",""),IF(AND('Audit Setup'!$C$22&gt;=C28,'Audit Setup'!$C$22&lt;=C28+4),"⚑ OUTLINE TO EXEC ",""),IF(AND('Audit Setup'!$C$23&gt;=C28,'Audit Setup'!$C$23&lt;=C28+4),"⚑ ON-TARGET ",""),IF(AND('Audit Setup'!$C$25&gt;=C28,'Audit Setup'!$C$25&lt;=C28+4),"⚑ DRAFT TO EXEC ",""),IF(AND('Audit Setup'!$C$26&gt;=C28,'Audit Setup'!$C$26&lt;=C28+4),"⚑ EXIT CONFERENCE ",""),IF(AND('Audit Setup'!$C$27&gt;=C28,'Audit Setup'!$C$27&lt;=C28+4),"⚑ MGMT RESPONSES DUE ",""),IF(AND('Audit Setup'!$C$32&gt;=C28,'Audit Setup'!$C$32&lt;=C28+4),"⚑ REPORT RELEASE ",""))))</f>
        <v/>
      </c>
    </row>
    <row r="29" hidden="1" ht="15" customHeight="1">
      <c r="A29" s="50">
        <f>IF(22&lt;='Audit Setup'!$B$12,"PL-"&amp;22,"")</f>
        <v/>
      </c>
      <c r="B29" s="35" t="inlineStr"/>
      <c r="C29" s="51">
        <f>C28+7</f>
        <v/>
      </c>
      <c r="D29" s="52" t="n">
        <v>0</v>
      </c>
      <c r="E29" s="53">
        <f>-COUNTIFS('Holidays &amp; Skeleton'!$B$5:$B$25,"&gt;="&amp;C29,'Holidays &amp; Skeleton'!$B$5:$B$25,"&lt;="&amp;(C29+4))*'Audit Setup'!$B$7</f>
        <v/>
      </c>
      <c r="F29" s="54">
        <f>-COUNTIFS('Holidays &amp; Skeleton'!$B$29:$B$36,"&gt;="&amp;C29,'Holidays &amp; Skeleton'!$B$29:$B$36,"&lt;="&amp;(C29+4))*'Audit Setup'!$B$7</f>
        <v/>
      </c>
      <c r="G29" s="55" t="n">
        <v>0</v>
      </c>
      <c r="H29" s="56">
        <f>CEILING(MAX(0,SUM(D29:G29)),1)</f>
        <v/>
      </c>
      <c r="I29" s="57" t="n"/>
      <c r="J29" s="57" t="n"/>
      <c r="K29" s="58" t="n">
        <v>0</v>
      </c>
      <c r="L29" s="59">
        <f>IF(NOT(ISNUMBER(C29)),"",TRIM(CONCATENATE(IF(AND('Audit Setup'!$C$20&gt;=C29,'Audit Setup'!$C$20&lt;=C29+4),"⚑ KICKOFF ",""),IF(AND('Audit Setup'!$C$21&gt;=C29,'Audit Setup'!$C$21&lt;=C29+4),"⚑ END OF PLANNING ",""),IF(AND('Audit Setup'!$C$22&gt;=C29,'Audit Setup'!$C$22&lt;=C29+4),"⚑ OUTLINE TO EXEC ",""),IF(AND('Audit Setup'!$C$23&gt;=C29,'Audit Setup'!$C$23&lt;=C29+4),"⚑ ON-TARGET ",""),IF(AND('Audit Setup'!$C$25&gt;=C29,'Audit Setup'!$C$25&lt;=C29+4),"⚑ DRAFT TO EXEC ",""),IF(AND('Audit Setup'!$C$26&gt;=C29,'Audit Setup'!$C$26&lt;=C29+4),"⚑ EXIT CONFERENCE ",""),IF(AND('Audit Setup'!$C$27&gt;=C29,'Audit Setup'!$C$27&lt;=C29+4),"⚑ MGMT RESPONSES DUE ",""),IF(AND('Audit Setup'!$C$32&gt;=C29,'Audit Setup'!$C$32&lt;=C29+4),"⚑ REPORT RELEASE ",""))))</f>
        <v/>
      </c>
    </row>
    <row r="30" hidden="1" ht="15" customHeight="1">
      <c r="A30" s="50">
        <f>IF(23&lt;='Audit Setup'!$B$12,"PL-"&amp;23,"")</f>
        <v/>
      </c>
      <c r="B30" s="35" t="inlineStr"/>
      <c r="C30" s="51">
        <f>C29+7</f>
        <v/>
      </c>
      <c r="D30" s="52" t="n">
        <v>0</v>
      </c>
      <c r="E30" s="53">
        <f>-COUNTIFS('Holidays &amp; Skeleton'!$B$5:$B$25,"&gt;="&amp;C30,'Holidays &amp; Skeleton'!$B$5:$B$25,"&lt;="&amp;(C30+4))*'Audit Setup'!$B$7</f>
        <v/>
      </c>
      <c r="F30" s="54">
        <f>-COUNTIFS('Holidays &amp; Skeleton'!$B$29:$B$36,"&gt;="&amp;C30,'Holidays &amp; Skeleton'!$B$29:$B$36,"&lt;="&amp;(C30+4))*'Audit Setup'!$B$7</f>
        <v/>
      </c>
      <c r="G30" s="55" t="n">
        <v>0</v>
      </c>
      <c r="H30" s="56">
        <f>CEILING(MAX(0,SUM(D30:G30)),1)</f>
        <v/>
      </c>
      <c r="I30" s="57" t="n"/>
      <c r="J30" s="57" t="n"/>
      <c r="K30" s="58" t="n">
        <v>0</v>
      </c>
      <c r="L30" s="59">
        <f>IF(NOT(ISNUMBER(C30)),"",TRIM(CONCATENATE(IF(AND('Audit Setup'!$C$20&gt;=C30,'Audit Setup'!$C$20&lt;=C30+4),"⚑ KICKOFF ",""),IF(AND('Audit Setup'!$C$21&gt;=C30,'Audit Setup'!$C$21&lt;=C30+4),"⚑ END OF PLANNING ",""),IF(AND('Audit Setup'!$C$22&gt;=C30,'Audit Setup'!$C$22&lt;=C30+4),"⚑ OUTLINE TO EXEC ",""),IF(AND('Audit Setup'!$C$23&gt;=C30,'Audit Setup'!$C$23&lt;=C30+4),"⚑ ON-TARGET ",""),IF(AND('Audit Setup'!$C$25&gt;=C30,'Audit Setup'!$C$25&lt;=C30+4),"⚑ DRAFT TO EXEC ",""),IF(AND('Audit Setup'!$C$26&gt;=C30,'Audit Setup'!$C$26&lt;=C30+4),"⚑ EXIT CONFERENCE ",""),IF(AND('Audit Setup'!$C$27&gt;=C30,'Audit Setup'!$C$27&lt;=C30+4),"⚑ MGMT RESPONSES DUE ",""),IF(AND('Audit Setup'!$C$32&gt;=C30,'Audit Setup'!$C$32&lt;=C30+4),"⚑ REPORT RELEASE ",""))))</f>
        <v/>
      </c>
    </row>
    <row r="31" hidden="1" ht="15" customHeight="1">
      <c r="A31" s="50">
        <f>IF(24&lt;='Audit Setup'!$B$12,"PL-"&amp;24,"")</f>
        <v/>
      </c>
      <c r="B31" s="35" t="inlineStr"/>
      <c r="C31" s="51">
        <f>C30+7</f>
        <v/>
      </c>
      <c r="D31" s="52" t="n">
        <v>0</v>
      </c>
      <c r="E31" s="53">
        <f>-COUNTIFS('Holidays &amp; Skeleton'!$B$5:$B$25,"&gt;="&amp;C31,'Holidays &amp; Skeleton'!$B$5:$B$25,"&lt;="&amp;(C31+4))*'Audit Setup'!$B$7</f>
        <v/>
      </c>
      <c r="F31" s="54">
        <f>-COUNTIFS('Holidays &amp; Skeleton'!$B$29:$B$36,"&gt;="&amp;C31,'Holidays &amp; Skeleton'!$B$29:$B$36,"&lt;="&amp;(C31+4))*'Audit Setup'!$B$7</f>
        <v/>
      </c>
      <c r="G31" s="55" t="n">
        <v>0</v>
      </c>
      <c r="H31" s="56">
        <f>CEILING(MAX(0,SUM(D31:G31)),1)</f>
        <v/>
      </c>
      <c r="I31" s="57" t="n"/>
      <c r="J31" s="57" t="n"/>
      <c r="K31" s="58" t="n">
        <v>0</v>
      </c>
      <c r="L31" s="59">
        <f>IF(NOT(ISNUMBER(C31)),"",TRIM(CONCATENATE(IF(AND('Audit Setup'!$C$20&gt;=C31,'Audit Setup'!$C$20&lt;=C31+4),"⚑ KICKOFF ",""),IF(AND('Audit Setup'!$C$21&gt;=C31,'Audit Setup'!$C$21&lt;=C31+4),"⚑ END OF PLANNING ",""),IF(AND('Audit Setup'!$C$22&gt;=C31,'Audit Setup'!$C$22&lt;=C31+4),"⚑ OUTLINE TO EXEC ",""),IF(AND('Audit Setup'!$C$23&gt;=C31,'Audit Setup'!$C$23&lt;=C31+4),"⚑ ON-TARGET ",""),IF(AND('Audit Setup'!$C$25&gt;=C31,'Audit Setup'!$C$25&lt;=C31+4),"⚑ DRAFT TO EXEC ",""),IF(AND('Audit Setup'!$C$26&gt;=C31,'Audit Setup'!$C$26&lt;=C31+4),"⚑ EXIT CONFERENCE ",""),IF(AND('Audit Setup'!$C$27&gt;=C31,'Audit Setup'!$C$27&lt;=C31+4),"⚑ MGMT RESPONSES DUE ",""),IF(AND('Audit Setup'!$C$32&gt;=C31,'Audit Setup'!$C$32&lt;=C31+4),"⚑ REPORT RELEASE ",""))))</f>
        <v/>
      </c>
    </row>
    <row r="32" hidden="1" ht="15" customHeight="1">
      <c r="A32" s="50">
        <f>IF(25&lt;='Audit Setup'!$B$12,"PL-"&amp;25,"")</f>
        <v/>
      </c>
      <c r="B32" s="35" t="inlineStr"/>
      <c r="C32" s="51">
        <f>C31+7</f>
        <v/>
      </c>
      <c r="D32" s="52" t="n">
        <v>0</v>
      </c>
      <c r="E32" s="53">
        <f>-COUNTIFS('Holidays &amp; Skeleton'!$B$5:$B$25,"&gt;="&amp;C32,'Holidays &amp; Skeleton'!$B$5:$B$25,"&lt;="&amp;(C32+4))*'Audit Setup'!$B$7</f>
        <v/>
      </c>
      <c r="F32" s="54">
        <f>-COUNTIFS('Holidays &amp; Skeleton'!$B$29:$B$36,"&gt;="&amp;C32,'Holidays &amp; Skeleton'!$B$29:$B$36,"&lt;="&amp;(C32+4))*'Audit Setup'!$B$7</f>
        <v/>
      </c>
      <c r="G32" s="55" t="n">
        <v>0</v>
      </c>
      <c r="H32" s="56">
        <f>CEILING(MAX(0,SUM(D32:G32)),1)</f>
        <v/>
      </c>
      <c r="I32" s="57" t="n"/>
      <c r="J32" s="57" t="n"/>
      <c r="K32" s="58" t="n">
        <v>0</v>
      </c>
      <c r="L32" s="59">
        <f>IF(NOT(ISNUMBER(C32)),"",TRIM(CONCATENATE(IF(AND('Audit Setup'!$C$20&gt;=C32,'Audit Setup'!$C$20&lt;=C32+4),"⚑ KICKOFF ",""),IF(AND('Audit Setup'!$C$21&gt;=C32,'Audit Setup'!$C$21&lt;=C32+4),"⚑ END OF PLANNING ",""),IF(AND('Audit Setup'!$C$22&gt;=C32,'Audit Setup'!$C$22&lt;=C32+4),"⚑ OUTLINE TO EXEC ",""),IF(AND('Audit Setup'!$C$23&gt;=C32,'Audit Setup'!$C$23&lt;=C32+4),"⚑ ON-TARGET ",""),IF(AND('Audit Setup'!$C$25&gt;=C32,'Audit Setup'!$C$25&lt;=C32+4),"⚑ DRAFT TO EXEC ",""),IF(AND('Audit Setup'!$C$26&gt;=C32,'Audit Setup'!$C$26&lt;=C32+4),"⚑ EXIT CONFERENCE ",""),IF(AND('Audit Setup'!$C$27&gt;=C32,'Audit Setup'!$C$27&lt;=C32+4),"⚑ MGMT RESPONSES DUE ",""),IF(AND('Audit Setup'!$C$32&gt;=C32,'Audit Setup'!$C$32&lt;=C32+4),"⚑ REPORT RELEASE ",""))))</f>
        <v/>
      </c>
    </row>
    <row r="33" ht="22" customHeight="1">
      <c r="A33" s="60">
        <f>" FIELDWORK - Weeks "&amp;('Audit Setup'!$B$12+1)&amp;"-"&amp;('Audit Setup'!$B$12+'Audit Setup'!$B$13)</f>
        <v/>
      </c>
    </row>
    <row r="34" ht="15" customHeight="1">
      <c r="A34" s="61">
        <f>IF(1&lt;='Audit Setup'!$B$13,"FW-"&amp;1,"")</f>
        <v/>
      </c>
      <c r="B34" s="35" t="inlineStr"/>
      <c r="C34" s="62">
        <f>'Audit Setup'!$C$13</f>
        <v/>
      </c>
      <c r="D34" s="52" t="n">
        <v>0</v>
      </c>
      <c r="E34" s="63">
        <f>-COUNTIFS('Holidays &amp; Skeleton'!$B$5:$B$25,"&gt;="&amp;C34,'Holidays &amp; Skeleton'!$B$5:$B$25,"&lt;="&amp;(C34+4))*'Audit Setup'!$B$7</f>
        <v/>
      </c>
      <c r="F34" s="64">
        <f>-COUNTIFS('Holidays &amp; Skeleton'!$B$29:$B$36,"&gt;="&amp;C34,'Holidays &amp; Skeleton'!$B$29:$B$36,"&lt;="&amp;(C34+4))*'Audit Setup'!$B$7</f>
        <v/>
      </c>
      <c r="G34" s="55" t="n">
        <v>0</v>
      </c>
      <c r="H34" s="56">
        <f>CEILING(MAX(0,SUM(D34:G34)),1)</f>
        <v/>
      </c>
      <c r="I34" s="57" t="n"/>
      <c r="J34" s="57" t="n"/>
      <c r="K34" s="58" t="n">
        <v>0</v>
      </c>
      <c r="L34" s="65">
        <f>IF(NOT(ISNUMBER(C34)),"",TRIM(CONCATENATE(IF(AND('Audit Setup'!$C$20&gt;=C34,'Audit Setup'!$C$20&lt;=C34+4),"⚑ KICKOFF ",""),IF(AND('Audit Setup'!$C$21&gt;=C34,'Audit Setup'!$C$21&lt;=C34+4),"⚑ END OF PLANNING ",""),IF(AND('Audit Setup'!$C$22&gt;=C34,'Audit Setup'!$C$22&lt;=C34+4),"⚑ OUTLINE TO EXEC ",""),IF(AND('Audit Setup'!$C$23&gt;=C34,'Audit Setup'!$C$23&lt;=C34+4),"⚑ ON-TARGET ",""),IF(AND('Audit Setup'!$C$25&gt;=C34,'Audit Setup'!$C$25&lt;=C34+4),"⚑ DRAFT TO EXEC ",""),IF(AND('Audit Setup'!$C$26&gt;=C34,'Audit Setup'!$C$26&lt;=C34+4),"⚑ EXIT CONFERENCE ",""),IF(AND('Audit Setup'!$C$27&gt;=C34,'Audit Setup'!$C$27&lt;=C34+4),"⚑ MGMT RESPONSES DUE ",""),IF(AND('Audit Setup'!$C$32&gt;=C34,'Audit Setup'!$C$32&lt;=C34+4),"⚑ REPORT RELEASE ",""))))</f>
        <v/>
      </c>
    </row>
    <row r="35" ht="15" customHeight="1">
      <c r="A35" s="61">
        <f>IF(2&lt;='Audit Setup'!$B$13,"FW-"&amp;2,"")</f>
        <v/>
      </c>
      <c r="B35" s="35" t="inlineStr"/>
      <c r="C35" s="62">
        <f>C34+7</f>
        <v/>
      </c>
      <c r="D35" s="52" t="n">
        <v>0</v>
      </c>
      <c r="E35" s="63">
        <f>-COUNTIFS('Holidays &amp; Skeleton'!$B$5:$B$25,"&gt;="&amp;C35,'Holidays &amp; Skeleton'!$B$5:$B$25,"&lt;="&amp;(C35+4))*'Audit Setup'!$B$7</f>
        <v/>
      </c>
      <c r="F35" s="64">
        <f>-COUNTIFS('Holidays &amp; Skeleton'!$B$29:$B$36,"&gt;="&amp;C35,'Holidays &amp; Skeleton'!$B$29:$B$36,"&lt;="&amp;(C35+4))*'Audit Setup'!$B$7</f>
        <v/>
      </c>
      <c r="G35" s="55" t="n">
        <v>0</v>
      </c>
      <c r="H35" s="56">
        <f>CEILING(MAX(0,SUM(D35:G35)),1)</f>
        <v/>
      </c>
      <c r="I35" s="57" t="n"/>
      <c r="J35" s="57" t="n"/>
      <c r="K35" s="58" t="n">
        <v>0</v>
      </c>
      <c r="L35" s="65">
        <f>IF(NOT(ISNUMBER(C35)),"",TRIM(CONCATENATE(IF(AND('Audit Setup'!$C$20&gt;=C35,'Audit Setup'!$C$20&lt;=C35+4),"⚑ KICKOFF ",""),IF(AND('Audit Setup'!$C$21&gt;=C35,'Audit Setup'!$C$21&lt;=C35+4),"⚑ END OF PLANNING ",""),IF(AND('Audit Setup'!$C$22&gt;=C35,'Audit Setup'!$C$22&lt;=C35+4),"⚑ OUTLINE TO EXEC ",""),IF(AND('Audit Setup'!$C$23&gt;=C35,'Audit Setup'!$C$23&lt;=C35+4),"⚑ ON-TARGET ",""),IF(AND('Audit Setup'!$C$25&gt;=C35,'Audit Setup'!$C$25&lt;=C35+4),"⚑ DRAFT TO EXEC ",""),IF(AND('Audit Setup'!$C$26&gt;=C35,'Audit Setup'!$C$26&lt;=C35+4),"⚑ EXIT CONFERENCE ",""),IF(AND('Audit Setup'!$C$27&gt;=C35,'Audit Setup'!$C$27&lt;=C35+4),"⚑ MGMT RESPONSES DUE ",""),IF(AND('Audit Setup'!$C$32&gt;=C35,'Audit Setup'!$C$32&lt;=C35+4),"⚑ REPORT RELEASE ",""))))</f>
        <v/>
      </c>
    </row>
    <row r="36" ht="15" customHeight="1">
      <c r="A36" s="61">
        <f>IF(3&lt;='Audit Setup'!$B$13,"FW-"&amp;3,"")</f>
        <v/>
      </c>
      <c r="B36" s="35" t="inlineStr"/>
      <c r="C36" s="62">
        <f>C35+7</f>
        <v/>
      </c>
      <c r="D36" s="52" t="n">
        <v>0</v>
      </c>
      <c r="E36" s="63">
        <f>-COUNTIFS('Holidays &amp; Skeleton'!$B$5:$B$25,"&gt;="&amp;C36,'Holidays &amp; Skeleton'!$B$5:$B$25,"&lt;="&amp;(C36+4))*'Audit Setup'!$B$7</f>
        <v/>
      </c>
      <c r="F36" s="64">
        <f>-COUNTIFS('Holidays &amp; Skeleton'!$B$29:$B$36,"&gt;="&amp;C36,'Holidays &amp; Skeleton'!$B$29:$B$36,"&lt;="&amp;(C36+4))*'Audit Setup'!$B$7</f>
        <v/>
      </c>
      <c r="G36" s="55" t="n">
        <v>0</v>
      </c>
      <c r="H36" s="56">
        <f>CEILING(MAX(0,SUM(D36:G36)),1)</f>
        <v/>
      </c>
      <c r="I36" s="57" t="n"/>
      <c r="J36" s="57" t="n"/>
      <c r="K36" s="58" t="n">
        <v>0</v>
      </c>
      <c r="L36" s="65">
        <f>IF(NOT(ISNUMBER(C36)),"",TRIM(CONCATENATE(IF(AND('Audit Setup'!$C$20&gt;=C36,'Audit Setup'!$C$20&lt;=C36+4),"⚑ KICKOFF ",""),IF(AND('Audit Setup'!$C$21&gt;=C36,'Audit Setup'!$C$21&lt;=C36+4),"⚑ END OF PLANNING ",""),IF(AND('Audit Setup'!$C$22&gt;=C36,'Audit Setup'!$C$22&lt;=C36+4),"⚑ OUTLINE TO EXEC ",""),IF(AND('Audit Setup'!$C$23&gt;=C36,'Audit Setup'!$C$23&lt;=C36+4),"⚑ ON-TARGET ",""),IF(AND('Audit Setup'!$C$25&gt;=C36,'Audit Setup'!$C$25&lt;=C36+4),"⚑ DRAFT TO EXEC ",""),IF(AND('Audit Setup'!$C$26&gt;=C36,'Audit Setup'!$C$26&lt;=C36+4),"⚑ EXIT CONFERENCE ",""),IF(AND('Audit Setup'!$C$27&gt;=C36,'Audit Setup'!$C$27&lt;=C36+4),"⚑ MGMT RESPONSES DUE ",""),IF(AND('Audit Setup'!$C$32&gt;=C36,'Audit Setup'!$C$32&lt;=C36+4),"⚑ REPORT RELEASE ",""))))</f>
        <v/>
      </c>
    </row>
    <row r="37" ht="15" customHeight="1">
      <c r="A37" s="61">
        <f>IF(4&lt;='Audit Setup'!$B$13,"FW-"&amp;4,"")</f>
        <v/>
      </c>
      <c r="B37" s="35" t="inlineStr"/>
      <c r="C37" s="62">
        <f>C36+7</f>
        <v/>
      </c>
      <c r="D37" s="52" t="n">
        <v>0</v>
      </c>
      <c r="E37" s="63">
        <f>-COUNTIFS('Holidays &amp; Skeleton'!$B$5:$B$25,"&gt;="&amp;C37,'Holidays &amp; Skeleton'!$B$5:$B$25,"&lt;="&amp;(C37+4))*'Audit Setup'!$B$7</f>
        <v/>
      </c>
      <c r="F37" s="64">
        <f>-COUNTIFS('Holidays &amp; Skeleton'!$B$29:$B$36,"&gt;="&amp;C37,'Holidays &amp; Skeleton'!$B$29:$B$36,"&lt;="&amp;(C37+4))*'Audit Setup'!$B$7</f>
        <v/>
      </c>
      <c r="G37" s="55" t="n">
        <v>0</v>
      </c>
      <c r="H37" s="56">
        <f>CEILING(MAX(0,SUM(D37:G37)),1)</f>
        <v/>
      </c>
      <c r="I37" s="57" t="n"/>
      <c r="J37" s="57" t="n"/>
      <c r="K37" s="58" t="n">
        <v>0</v>
      </c>
      <c r="L37" s="65">
        <f>IF(NOT(ISNUMBER(C37)),"",TRIM(CONCATENATE(IF(AND('Audit Setup'!$C$20&gt;=C37,'Audit Setup'!$C$20&lt;=C37+4),"⚑ KICKOFF ",""),IF(AND('Audit Setup'!$C$21&gt;=C37,'Audit Setup'!$C$21&lt;=C37+4),"⚑ END OF PLANNING ",""),IF(AND('Audit Setup'!$C$22&gt;=C37,'Audit Setup'!$C$22&lt;=C37+4),"⚑ OUTLINE TO EXEC ",""),IF(AND('Audit Setup'!$C$23&gt;=C37,'Audit Setup'!$C$23&lt;=C37+4),"⚑ ON-TARGET ",""),IF(AND('Audit Setup'!$C$25&gt;=C37,'Audit Setup'!$C$25&lt;=C37+4),"⚑ DRAFT TO EXEC ",""),IF(AND('Audit Setup'!$C$26&gt;=C37,'Audit Setup'!$C$26&lt;=C37+4),"⚑ EXIT CONFERENCE ",""),IF(AND('Audit Setup'!$C$27&gt;=C37,'Audit Setup'!$C$27&lt;=C37+4),"⚑ MGMT RESPONSES DUE ",""),IF(AND('Audit Setup'!$C$32&gt;=C37,'Audit Setup'!$C$32&lt;=C37+4),"⚑ REPORT RELEASE ",""))))</f>
        <v/>
      </c>
    </row>
    <row r="38" ht="15" customHeight="1">
      <c r="A38" s="61">
        <f>IF(5&lt;='Audit Setup'!$B$13,"FW-"&amp;5,"")</f>
        <v/>
      </c>
      <c r="B38" s="35" t="inlineStr"/>
      <c r="C38" s="62">
        <f>C37+7</f>
        <v/>
      </c>
      <c r="D38" s="52" t="n">
        <v>0</v>
      </c>
      <c r="E38" s="63">
        <f>-COUNTIFS('Holidays &amp; Skeleton'!$B$5:$B$25,"&gt;="&amp;C38,'Holidays &amp; Skeleton'!$B$5:$B$25,"&lt;="&amp;(C38+4))*'Audit Setup'!$B$7</f>
        <v/>
      </c>
      <c r="F38" s="64">
        <f>-COUNTIFS('Holidays &amp; Skeleton'!$B$29:$B$36,"&gt;="&amp;C38,'Holidays &amp; Skeleton'!$B$29:$B$36,"&lt;="&amp;(C38+4))*'Audit Setup'!$B$7</f>
        <v/>
      </c>
      <c r="G38" s="55" t="n">
        <v>0</v>
      </c>
      <c r="H38" s="56">
        <f>CEILING(MAX(0,SUM(D38:G38)),1)</f>
        <v/>
      </c>
      <c r="I38" s="57" t="n"/>
      <c r="J38" s="57" t="n"/>
      <c r="K38" s="58" t="n">
        <v>0</v>
      </c>
      <c r="L38" s="65">
        <f>IF(NOT(ISNUMBER(C38)),"",TRIM(CONCATENATE(IF(AND('Audit Setup'!$C$20&gt;=C38,'Audit Setup'!$C$20&lt;=C38+4),"⚑ KICKOFF ",""),IF(AND('Audit Setup'!$C$21&gt;=C38,'Audit Setup'!$C$21&lt;=C38+4),"⚑ END OF PLANNING ",""),IF(AND('Audit Setup'!$C$22&gt;=C38,'Audit Setup'!$C$22&lt;=C38+4),"⚑ OUTLINE TO EXEC ",""),IF(AND('Audit Setup'!$C$23&gt;=C38,'Audit Setup'!$C$23&lt;=C38+4),"⚑ ON-TARGET ",""),IF(AND('Audit Setup'!$C$25&gt;=C38,'Audit Setup'!$C$25&lt;=C38+4),"⚑ DRAFT TO EXEC ",""),IF(AND('Audit Setup'!$C$26&gt;=C38,'Audit Setup'!$C$26&lt;=C38+4),"⚑ EXIT CONFERENCE ",""),IF(AND('Audit Setup'!$C$27&gt;=C38,'Audit Setup'!$C$27&lt;=C38+4),"⚑ MGMT RESPONSES DUE ",""),IF(AND('Audit Setup'!$C$32&gt;=C38,'Audit Setup'!$C$32&lt;=C38+4),"⚑ REPORT RELEASE ",""))))</f>
        <v/>
      </c>
    </row>
    <row r="39" ht="15" customHeight="1">
      <c r="A39" s="61">
        <f>IF(6&lt;='Audit Setup'!$B$13,"FW-"&amp;6,"")</f>
        <v/>
      </c>
      <c r="B39" s="35" t="inlineStr"/>
      <c r="C39" s="62">
        <f>C38+7</f>
        <v/>
      </c>
      <c r="D39" s="52" t="n">
        <v>0</v>
      </c>
      <c r="E39" s="63">
        <f>-COUNTIFS('Holidays &amp; Skeleton'!$B$5:$B$25,"&gt;="&amp;C39,'Holidays &amp; Skeleton'!$B$5:$B$25,"&lt;="&amp;(C39+4))*'Audit Setup'!$B$7</f>
        <v/>
      </c>
      <c r="F39" s="64">
        <f>-COUNTIFS('Holidays &amp; Skeleton'!$B$29:$B$36,"&gt;="&amp;C39,'Holidays &amp; Skeleton'!$B$29:$B$36,"&lt;="&amp;(C39+4))*'Audit Setup'!$B$7</f>
        <v/>
      </c>
      <c r="G39" s="55" t="n">
        <v>0</v>
      </c>
      <c r="H39" s="56">
        <f>CEILING(MAX(0,SUM(D39:G39)),1)</f>
        <v/>
      </c>
      <c r="I39" s="57" t="n"/>
      <c r="J39" s="57" t="n"/>
      <c r="K39" s="58" t="n">
        <v>0</v>
      </c>
      <c r="L39" s="65">
        <f>IF(NOT(ISNUMBER(C39)),"",TRIM(CONCATENATE(IF(AND('Audit Setup'!$C$20&gt;=C39,'Audit Setup'!$C$20&lt;=C39+4),"⚑ KICKOFF ",""),IF(AND('Audit Setup'!$C$21&gt;=C39,'Audit Setup'!$C$21&lt;=C39+4),"⚑ END OF PLANNING ",""),IF(AND('Audit Setup'!$C$22&gt;=C39,'Audit Setup'!$C$22&lt;=C39+4),"⚑ OUTLINE TO EXEC ",""),IF(AND('Audit Setup'!$C$23&gt;=C39,'Audit Setup'!$C$23&lt;=C39+4),"⚑ ON-TARGET ",""),IF(AND('Audit Setup'!$C$25&gt;=C39,'Audit Setup'!$C$25&lt;=C39+4),"⚑ DRAFT TO EXEC ",""),IF(AND('Audit Setup'!$C$26&gt;=C39,'Audit Setup'!$C$26&lt;=C39+4),"⚑ EXIT CONFERENCE ",""),IF(AND('Audit Setup'!$C$27&gt;=C39,'Audit Setup'!$C$27&lt;=C39+4),"⚑ MGMT RESPONSES DUE ",""),IF(AND('Audit Setup'!$C$32&gt;=C39,'Audit Setup'!$C$32&lt;=C39+4),"⚑ REPORT RELEASE ",""))))</f>
        <v/>
      </c>
    </row>
    <row r="40" ht="15" customHeight="1">
      <c r="A40" s="61">
        <f>IF(7&lt;='Audit Setup'!$B$13,"FW-"&amp;7,"")</f>
        <v/>
      </c>
      <c r="B40" s="35" t="inlineStr"/>
      <c r="C40" s="62">
        <f>C39+7</f>
        <v/>
      </c>
      <c r="D40" s="52" t="n">
        <v>0</v>
      </c>
      <c r="E40" s="63">
        <f>-COUNTIFS('Holidays &amp; Skeleton'!$B$5:$B$25,"&gt;="&amp;C40,'Holidays &amp; Skeleton'!$B$5:$B$25,"&lt;="&amp;(C40+4))*'Audit Setup'!$B$7</f>
        <v/>
      </c>
      <c r="F40" s="64">
        <f>-COUNTIFS('Holidays &amp; Skeleton'!$B$29:$B$36,"&gt;="&amp;C40,'Holidays &amp; Skeleton'!$B$29:$B$36,"&lt;="&amp;(C40+4))*'Audit Setup'!$B$7</f>
        <v/>
      </c>
      <c r="G40" s="55" t="n">
        <v>0</v>
      </c>
      <c r="H40" s="56">
        <f>CEILING(MAX(0,SUM(D40:G40)),1)</f>
        <v/>
      </c>
      <c r="I40" s="57" t="n"/>
      <c r="J40" s="57" t="n"/>
      <c r="K40" s="58" t="n">
        <v>0</v>
      </c>
      <c r="L40" s="65">
        <f>IF(NOT(ISNUMBER(C40)),"",TRIM(CONCATENATE(IF(AND('Audit Setup'!$C$20&gt;=C40,'Audit Setup'!$C$20&lt;=C40+4),"⚑ KICKOFF ",""),IF(AND('Audit Setup'!$C$21&gt;=C40,'Audit Setup'!$C$21&lt;=C40+4),"⚑ END OF PLANNING ",""),IF(AND('Audit Setup'!$C$22&gt;=C40,'Audit Setup'!$C$22&lt;=C40+4),"⚑ OUTLINE TO EXEC ",""),IF(AND('Audit Setup'!$C$23&gt;=C40,'Audit Setup'!$C$23&lt;=C40+4),"⚑ ON-TARGET ",""),IF(AND('Audit Setup'!$C$25&gt;=C40,'Audit Setup'!$C$25&lt;=C40+4),"⚑ DRAFT TO EXEC ",""),IF(AND('Audit Setup'!$C$26&gt;=C40,'Audit Setup'!$C$26&lt;=C40+4),"⚑ EXIT CONFERENCE ",""),IF(AND('Audit Setup'!$C$27&gt;=C40,'Audit Setup'!$C$27&lt;=C40+4),"⚑ MGMT RESPONSES DUE ",""),IF(AND('Audit Setup'!$C$32&gt;=C40,'Audit Setup'!$C$32&lt;=C40+4),"⚑ REPORT RELEASE ",""))))</f>
        <v/>
      </c>
    </row>
    <row r="41" ht="15" customHeight="1">
      <c r="A41" s="61">
        <f>IF(8&lt;='Audit Setup'!$B$13,"FW-"&amp;8,"")</f>
        <v/>
      </c>
      <c r="B41" s="35" t="inlineStr"/>
      <c r="C41" s="62">
        <f>C40+7</f>
        <v/>
      </c>
      <c r="D41" s="52" t="n">
        <v>0</v>
      </c>
      <c r="E41" s="63">
        <f>-COUNTIFS('Holidays &amp; Skeleton'!$B$5:$B$25,"&gt;="&amp;C41,'Holidays &amp; Skeleton'!$B$5:$B$25,"&lt;="&amp;(C41+4))*'Audit Setup'!$B$7</f>
        <v/>
      </c>
      <c r="F41" s="64">
        <f>-COUNTIFS('Holidays &amp; Skeleton'!$B$29:$B$36,"&gt;="&amp;C41,'Holidays &amp; Skeleton'!$B$29:$B$36,"&lt;="&amp;(C41+4))*'Audit Setup'!$B$7</f>
        <v/>
      </c>
      <c r="G41" s="55" t="n">
        <v>0</v>
      </c>
      <c r="H41" s="56">
        <f>CEILING(MAX(0,SUM(D41:G41)),1)</f>
        <v/>
      </c>
      <c r="I41" s="57" t="n"/>
      <c r="J41" s="57" t="n"/>
      <c r="K41" s="58" t="n">
        <v>0</v>
      </c>
      <c r="L41" s="65">
        <f>IF(NOT(ISNUMBER(C41)),"",TRIM(CONCATENATE(IF(AND('Audit Setup'!$C$20&gt;=C41,'Audit Setup'!$C$20&lt;=C41+4),"⚑ KICKOFF ",""),IF(AND('Audit Setup'!$C$21&gt;=C41,'Audit Setup'!$C$21&lt;=C41+4),"⚑ END OF PLANNING ",""),IF(AND('Audit Setup'!$C$22&gt;=C41,'Audit Setup'!$C$22&lt;=C41+4),"⚑ OUTLINE TO EXEC ",""),IF(AND('Audit Setup'!$C$23&gt;=C41,'Audit Setup'!$C$23&lt;=C41+4),"⚑ ON-TARGET ",""),IF(AND('Audit Setup'!$C$25&gt;=C41,'Audit Setup'!$C$25&lt;=C41+4),"⚑ DRAFT TO EXEC ",""),IF(AND('Audit Setup'!$C$26&gt;=C41,'Audit Setup'!$C$26&lt;=C41+4),"⚑ EXIT CONFERENCE ",""),IF(AND('Audit Setup'!$C$27&gt;=C41,'Audit Setup'!$C$27&lt;=C41+4),"⚑ MGMT RESPONSES DUE ",""),IF(AND('Audit Setup'!$C$32&gt;=C41,'Audit Setup'!$C$32&lt;=C41+4),"⚑ REPORT RELEASE ",""))))</f>
        <v/>
      </c>
    </row>
    <row r="42" ht="15" customHeight="1">
      <c r="A42" s="61">
        <f>IF(9&lt;='Audit Setup'!$B$13,"FW-"&amp;9,"")</f>
        <v/>
      </c>
      <c r="B42" s="35" t="inlineStr"/>
      <c r="C42" s="62">
        <f>C41+7</f>
        <v/>
      </c>
      <c r="D42" s="52" t="n">
        <v>0</v>
      </c>
      <c r="E42" s="63">
        <f>-COUNTIFS('Holidays &amp; Skeleton'!$B$5:$B$25,"&gt;="&amp;C42,'Holidays &amp; Skeleton'!$B$5:$B$25,"&lt;="&amp;(C42+4))*'Audit Setup'!$B$7</f>
        <v/>
      </c>
      <c r="F42" s="64">
        <f>-COUNTIFS('Holidays &amp; Skeleton'!$B$29:$B$36,"&gt;="&amp;C42,'Holidays &amp; Skeleton'!$B$29:$B$36,"&lt;="&amp;(C42+4))*'Audit Setup'!$B$7</f>
        <v/>
      </c>
      <c r="G42" s="55" t="n">
        <v>0</v>
      </c>
      <c r="H42" s="56">
        <f>CEILING(MAX(0,SUM(D42:G42)),1)</f>
        <v/>
      </c>
      <c r="I42" s="57" t="n"/>
      <c r="J42" s="57" t="n"/>
      <c r="K42" s="58" t="n">
        <v>0</v>
      </c>
      <c r="L42" s="65">
        <f>IF(NOT(ISNUMBER(C42)),"",TRIM(CONCATENATE(IF(AND('Audit Setup'!$C$20&gt;=C42,'Audit Setup'!$C$20&lt;=C42+4),"⚑ KICKOFF ",""),IF(AND('Audit Setup'!$C$21&gt;=C42,'Audit Setup'!$C$21&lt;=C42+4),"⚑ END OF PLANNING ",""),IF(AND('Audit Setup'!$C$22&gt;=C42,'Audit Setup'!$C$22&lt;=C42+4),"⚑ OUTLINE TO EXEC ",""),IF(AND('Audit Setup'!$C$23&gt;=C42,'Audit Setup'!$C$23&lt;=C42+4),"⚑ ON-TARGET ",""),IF(AND('Audit Setup'!$C$25&gt;=C42,'Audit Setup'!$C$25&lt;=C42+4),"⚑ DRAFT TO EXEC ",""),IF(AND('Audit Setup'!$C$26&gt;=C42,'Audit Setup'!$C$26&lt;=C42+4),"⚑ EXIT CONFERENCE ",""),IF(AND('Audit Setup'!$C$27&gt;=C42,'Audit Setup'!$C$27&lt;=C42+4),"⚑ MGMT RESPONSES DUE ",""),IF(AND('Audit Setup'!$C$32&gt;=C42,'Audit Setup'!$C$32&lt;=C42+4),"⚑ REPORT RELEASE ",""))))</f>
        <v/>
      </c>
    </row>
    <row r="43" ht="15" customHeight="1">
      <c r="A43" s="61">
        <f>IF(10&lt;='Audit Setup'!$B$13,"FW-"&amp;10,"")</f>
        <v/>
      </c>
      <c r="B43" s="35" t="inlineStr"/>
      <c r="C43" s="62">
        <f>C42+7</f>
        <v/>
      </c>
      <c r="D43" s="52" t="n">
        <v>0</v>
      </c>
      <c r="E43" s="63">
        <f>-COUNTIFS('Holidays &amp; Skeleton'!$B$5:$B$25,"&gt;="&amp;C43,'Holidays &amp; Skeleton'!$B$5:$B$25,"&lt;="&amp;(C43+4))*'Audit Setup'!$B$7</f>
        <v/>
      </c>
      <c r="F43" s="64">
        <f>-COUNTIFS('Holidays &amp; Skeleton'!$B$29:$B$36,"&gt;="&amp;C43,'Holidays &amp; Skeleton'!$B$29:$B$36,"&lt;="&amp;(C43+4))*'Audit Setup'!$B$7</f>
        <v/>
      </c>
      <c r="G43" s="55" t="n">
        <v>0</v>
      </c>
      <c r="H43" s="56">
        <f>CEILING(MAX(0,SUM(D43:G43)),1)</f>
        <v/>
      </c>
      <c r="I43" s="57" t="n"/>
      <c r="J43" s="57" t="n"/>
      <c r="K43" s="58" t="n">
        <v>0</v>
      </c>
      <c r="L43" s="65">
        <f>IF(NOT(ISNUMBER(C43)),"",TRIM(CONCATENATE(IF(AND('Audit Setup'!$C$20&gt;=C43,'Audit Setup'!$C$20&lt;=C43+4),"⚑ KICKOFF ",""),IF(AND('Audit Setup'!$C$21&gt;=C43,'Audit Setup'!$C$21&lt;=C43+4),"⚑ END OF PLANNING ",""),IF(AND('Audit Setup'!$C$22&gt;=C43,'Audit Setup'!$C$22&lt;=C43+4),"⚑ OUTLINE TO EXEC ",""),IF(AND('Audit Setup'!$C$23&gt;=C43,'Audit Setup'!$C$23&lt;=C43+4),"⚑ ON-TARGET ",""),IF(AND('Audit Setup'!$C$25&gt;=C43,'Audit Setup'!$C$25&lt;=C43+4),"⚑ DRAFT TO EXEC ",""),IF(AND('Audit Setup'!$C$26&gt;=C43,'Audit Setup'!$C$26&lt;=C43+4),"⚑ EXIT CONFERENCE ",""),IF(AND('Audit Setup'!$C$27&gt;=C43,'Audit Setup'!$C$27&lt;=C43+4),"⚑ MGMT RESPONSES DUE ",""),IF(AND('Audit Setup'!$C$32&gt;=C43,'Audit Setup'!$C$32&lt;=C43+4),"⚑ REPORT RELEASE ",""))))</f>
        <v/>
      </c>
    </row>
    <row r="44" ht="15" customHeight="1">
      <c r="A44" s="61">
        <f>IF(11&lt;='Audit Setup'!$B$13,"FW-"&amp;11,"")</f>
        <v/>
      </c>
      <c r="B44" s="35" t="inlineStr"/>
      <c r="C44" s="62">
        <f>C43+7</f>
        <v/>
      </c>
      <c r="D44" s="52" t="n">
        <v>0</v>
      </c>
      <c r="E44" s="63">
        <f>-COUNTIFS('Holidays &amp; Skeleton'!$B$5:$B$25,"&gt;="&amp;C44,'Holidays &amp; Skeleton'!$B$5:$B$25,"&lt;="&amp;(C44+4))*'Audit Setup'!$B$7</f>
        <v/>
      </c>
      <c r="F44" s="64">
        <f>-COUNTIFS('Holidays &amp; Skeleton'!$B$29:$B$36,"&gt;="&amp;C44,'Holidays &amp; Skeleton'!$B$29:$B$36,"&lt;="&amp;(C44+4))*'Audit Setup'!$B$7</f>
        <v/>
      </c>
      <c r="G44" s="55" t="n">
        <v>0</v>
      </c>
      <c r="H44" s="56">
        <f>CEILING(MAX(0,SUM(D44:G44)),1)</f>
        <v/>
      </c>
      <c r="I44" s="57" t="n"/>
      <c r="J44" s="57" t="n"/>
      <c r="K44" s="58" t="n">
        <v>0</v>
      </c>
      <c r="L44" s="65">
        <f>IF(NOT(ISNUMBER(C44)),"",TRIM(CONCATENATE(IF(AND('Audit Setup'!$C$20&gt;=C44,'Audit Setup'!$C$20&lt;=C44+4),"⚑ KICKOFF ",""),IF(AND('Audit Setup'!$C$21&gt;=C44,'Audit Setup'!$C$21&lt;=C44+4),"⚑ END OF PLANNING ",""),IF(AND('Audit Setup'!$C$22&gt;=C44,'Audit Setup'!$C$22&lt;=C44+4),"⚑ OUTLINE TO EXEC ",""),IF(AND('Audit Setup'!$C$23&gt;=C44,'Audit Setup'!$C$23&lt;=C44+4),"⚑ ON-TARGET ",""),IF(AND('Audit Setup'!$C$25&gt;=C44,'Audit Setup'!$C$25&lt;=C44+4),"⚑ DRAFT TO EXEC ",""),IF(AND('Audit Setup'!$C$26&gt;=C44,'Audit Setup'!$C$26&lt;=C44+4),"⚑ EXIT CONFERENCE ",""),IF(AND('Audit Setup'!$C$27&gt;=C44,'Audit Setup'!$C$27&lt;=C44+4),"⚑ MGMT RESPONSES DUE ",""),IF(AND('Audit Setup'!$C$32&gt;=C44,'Audit Setup'!$C$32&lt;=C44+4),"⚑ REPORT RELEASE ",""))))</f>
        <v/>
      </c>
    </row>
    <row r="45" ht="15" customHeight="1">
      <c r="A45" s="61">
        <f>IF(12&lt;='Audit Setup'!$B$13,"FW-"&amp;12,"")</f>
        <v/>
      </c>
      <c r="B45" s="35" t="inlineStr"/>
      <c r="C45" s="62">
        <f>C44+7</f>
        <v/>
      </c>
      <c r="D45" s="52" t="n">
        <v>0</v>
      </c>
      <c r="E45" s="63">
        <f>-COUNTIFS('Holidays &amp; Skeleton'!$B$5:$B$25,"&gt;="&amp;C45,'Holidays &amp; Skeleton'!$B$5:$B$25,"&lt;="&amp;(C45+4))*'Audit Setup'!$B$7</f>
        <v/>
      </c>
      <c r="F45" s="64">
        <f>-COUNTIFS('Holidays &amp; Skeleton'!$B$29:$B$36,"&gt;="&amp;C45,'Holidays &amp; Skeleton'!$B$29:$B$36,"&lt;="&amp;(C45+4))*'Audit Setup'!$B$7</f>
        <v/>
      </c>
      <c r="G45" s="55" t="n">
        <v>0</v>
      </c>
      <c r="H45" s="56">
        <f>CEILING(MAX(0,SUM(D45:G45)),1)</f>
        <v/>
      </c>
      <c r="I45" s="57" t="n"/>
      <c r="J45" s="57" t="n"/>
      <c r="K45" s="58" t="n">
        <v>0</v>
      </c>
      <c r="L45" s="65">
        <f>IF(NOT(ISNUMBER(C45)),"",TRIM(CONCATENATE(IF(AND('Audit Setup'!$C$20&gt;=C45,'Audit Setup'!$C$20&lt;=C45+4),"⚑ KICKOFF ",""),IF(AND('Audit Setup'!$C$21&gt;=C45,'Audit Setup'!$C$21&lt;=C45+4),"⚑ END OF PLANNING ",""),IF(AND('Audit Setup'!$C$22&gt;=C45,'Audit Setup'!$C$22&lt;=C45+4),"⚑ OUTLINE TO EXEC ",""),IF(AND('Audit Setup'!$C$23&gt;=C45,'Audit Setup'!$C$23&lt;=C45+4),"⚑ ON-TARGET ",""),IF(AND('Audit Setup'!$C$25&gt;=C45,'Audit Setup'!$C$25&lt;=C45+4),"⚑ DRAFT TO EXEC ",""),IF(AND('Audit Setup'!$C$26&gt;=C45,'Audit Setup'!$C$26&lt;=C45+4),"⚑ EXIT CONFERENCE ",""),IF(AND('Audit Setup'!$C$27&gt;=C45,'Audit Setup'!$C$27&lt;=C45+4),"⚑ MGMT RESPONSES DUE ",""),IF(AND('Audit Setup'!$C$32&gt;=C45,'Audit Setup'!$C$32&lt;=C45+4),"⚑ REPORT RELEASE ",""))))</f>
        <v/>
      </c>
    </row>
    <row r="46" ht="15" customHeight="1">
      <c r="A46" s="61">
        <f>IF(13&lt;='Audit Setup'!$B$13,"FW-"&amp;13,"")</f>
        <v/>
      </c>
      <c r="B46" s="35" t="inlineStr"/>
      <c r="C46" s="62">
        <f>C45+7</f>
        <v/>
      </c>
      <c r="D46" s="52" t="n">
        <v>0</v>
      </c>
      <c r="E46" s="63">
        <f>-COUNTIFS('Holidays &amp; Skeleton'!$B$5:$B$25,"&gt;="&amp;C46,'Holidays &amp; Skeleton'!$B$5:$B$25,"&lt;="&amp;(C46+4))*'Audit Setup'!$B$7</f>
        <v/>
      </c>
      <c r="F46" s="64">
        <f>-COUNTIFS('Holidays &amp; Skeleton'!$B$29:$B$36,"&gt;="&amp;C46,'Holidays &amp; Skeleton'!$B$29:$B$36,"&lt;="&amp;(C46+4))*'Audit Setup'!$B$7</f>
        <v/>
      </c>
      <c r="G46" s="55" t="n">
        <v>0</v>
      </c>
      <c r="H46" s="56">
        <f>CEILING(MAX(0,SUM(D46:G46)),1)</f>
        <v/>
      </c>
      <c r="I46" s="57" t="n"/>
      <c r="J46" s="57" t="n"/>
      <c r="K46" s="58" t="n">
        <v>0</v>
      </c>
      <c r="L46" s="65">
        <f>IF(NOT(ISNUMBER(C46)),"",TRIM(CONCATENATE(IF(AND('Audit Setup'!$C$20&gt;=C46,'Audit Setup'!$C$20&lt;=C46+4),"⚑ KICKOFF ",""),IF(AND('Audit Setup'!$C$21&gt;=C46,'Audit Setup'!$C$21&lt;=C46+4),"⚑ END OF PLANNING ",""),IF(AND('Audit Setup'!$C$22&gt;=C46,'Audit Setup'!$C$22&lt;=C46+4),"⚑ OUTLINE TO EXEC ",""),IF(AND('Audit Setup'!$C$23&gt;=C46,'Audit Setup'!$C$23&lt;=C46+4),"⚑ ON-TARGET ",""),IF(AND('Audit Setup'!$C$25&gt;=C46,'Audit Setup'!$C$25&lt;=C46+4),"⚑ DRAFT TO EXEC ",""),IF(AND('Audit Setup'!$C$26&gt;=C46,'Audit Setup'!$C$26&lt;=C46+4),"⚑ EXIT CONFERENCE ",""),IF(AND('Audit Setup'!$C$27&gt;=C46,'Audit Setup'!$C$27&lt;=C46+4),"⚑ MGMT RESPONSES DUE ",""),IF(AND('Audit Setup'!$C$32&gt;=C46,'Audit Setup'!$C$32&lt;=C46+4),"⚑ REPORT RELEASE ",""))))</f>
        <v/>
      </c>
    </row>
    <row r="47" ht="15" customHeight="1">
      <c r="A47" s="61">
        <f>IF(14&lt;='Audit Setup'!$B$13,"FW-"&amp;14,"")</f>
        <v/>
      </c>
      <c r="B47" s="35" t="inlineStr"/>
      <c r="C47" s="62">
        <f>C46+7</f>
        <v/>
      </c>
      <c r="D47" s="52" t="n">
        <v>0</v>
      </c>
      <c r="E47" s="63">
        <f>-COUNTIFS('Holidays &amp; Skeleton'!$B$5:$B$25,"&gt;="&amp;C47,'Holidays &amp; Skeleton'!$B$5:$B$25,"&lt;="&amp;(C47+4))*'Audit Setup'!$B$7</f>
        <v/>
      </c>
      <c r="F47" s="64">
        <f>-COUNTIFS('Holidays &amp; Skeleton'!$B$29:$B$36,"&gt;="&amp;C47,'Holidays &amp; Skeleton'!$B$29:$B$36,"&lt;="&amp;(C47+4))*'Audit Setup'!$B$7</f>
        <v/>
      </c>
      <c r="G47" s="55" t="n">
        <v>0</v>
      </c>
      <c r="H47" s="56">
        <f>CEILING(MAX(0,SUM(D47:G47)),1)</f>
        <v/>
      </c>
      <c r="I47" s="57" t="n"/>
      <c r="J47" s="57" t="n"/>
      <c r="K47" s="58" t="n">
        <v>0</v>
      </c>
      <c r="L47" s="65">
        <f>IF(NOT(ISNUMBER(C47)),"",TRIM(CONCATENATE(IF(AND('Audit Setup'!$C$20&gt;=C47,'Audit Setup'!$C$20&lt;=C47+4),"⚑ KICKOFF ",""),IF(AND('Audit Setup'!$C$21&gt;=C47,'Audit Setup'!$C$21&lt;=C47+4),"⚑ END OF PLANNING ",""),IF(AND('Audit Setup'!$C$22&gt;=C47,'Audit Setup'!$C$22&lt;=C47+4),"⚑ OUTLINE TO EXEC ",""),IF(AND('Audit Setup'!$C$23&gt;=C47,'Audit Setup'!$C$23&lt;=C47+4),"⚑ ON-TARGET ",""),IF(AND('Audit Setup'!$C$25&gt;=C47,'Audit Setup'!$C$25&lt;=C47+4),"⚑ DRAFT TO EXEC ",""),IF(AND('Audit Setup'!$C$26&gt;=C47,'Audit Setup'!$C$26&lt;=C47+4),"⚑ EXIT CONFERENCE ",""),IF(AND('Audit Setup'!$C$27&gt;=C47,'Audit Setup'!$C$27&lt;=C47+4),"⚑ MGMT RESPONSES DUE ",""),IF(AND('Audit Setup'!$C$32&gt;=C47,'Audit Setup'!$C$32&lt;=C47+4),"⚑ REPORT RELEASE ",""))))</f>
        <v/>
      </c>
    </row>
    <row r="48" ht="15" customHeight="1">
      <c r="A48" s="61">
        <f>IF(15&lt;='Audit Setup'!$B$13,"FW-"&amp;15,"")</f>
        <v/>
      </c>
      <c r="B48" s="35" t="inlineStr"/>
      <c r="C48" s="62">
        <f>C47+7</f>
        <v/>
      </c>
      <c r="D48" s="52" t="n">
        <v>0</v>
      </c>
      <c r="E48" s="63">
        <f>-COUNTIFS('Holidays &amp; Skeleton'!$B$5:$B$25,"&gt;="&amp;C48,'Holidays &amp; Skeleton'!$B$5:$B$25,"&lt;="&amp;(C48+4))*'Audit Setup'!$B$7</f>
        <v/>
      </c>
      <c r="F48" s="64">
        <f>-COUNTIFS('Holidays &amp; Skeleton'!$B$29:$B$36,"&gt;="&amp;C48,'Holidays &amp; Skeleton'!$B$29:$B$36,"&lt;="&amp;(C48+4))*'Audit Setup'!$B$7</f>
        <v/>
      </c>
      <c r="G48" s="55" t="n">
        <v>0</v>
      </c>
      <c r="H48" s="56">
        <f>CEILING(MAX(0,SUM(D48:G48)),1)</f>
        <v/>
      </c>
      <c r="I48" s="57" t="n"/>
      <c r="J48" s="57" t="n"/>
      <c r="K48" s="58" t="n">
        <v>0</v>
      </c>
      <c r="L48" s="65">
        <f>IF(NOT(ISNUMBER(C48)),"",TRIM(CONCATENATE(IF(AND('Audit Setup'!$C$20&gt;=C48,'Audit Setup'!$C$20&lt;=C48+4),"⚑ KICKOFF ",""),IF(AND('Audit Setup'!$C$21&gt;=C48,'Audit Setup'!$C$21&lt;=C48+4),"⚑ END OF PLANNING ",""),IF(AND('Audit Setup'!$C$22&gt;=C48,'Audit Setup'!$C$22&lt;=C48+4),"⚑ OUTLINE TO EXEC ",""),IF(AND('Audit Setup'!$C$23&gt;=C48,'Audit Setup'!$C$23&lt;=C48+4),"⚑ ON-TARGET ",""),IF(AND('Audit Setup'!$C$25&gt;=C48,'Audit Setup'!$C$25&lt;=C48+4),"⚑ DRAFT TO EXEC ",""),IF(AND('Audit Setup'!$C$26&gt;=C48,'Audit Setup'!$C$26&lt;=C48+4),"⚑ EXIT CONFERENCE ",""),IF(AND('Audit Setup'!$C$27&gt;=C48,'Audit Setup'!$C$27&lt;=C48+4),"⚑ MGMT RESPONSES DUE ",""),IF(AND('Audit Setup'!$C$32&gt;=C48,'Audit Setup'!$C$32&lt;=C48+4),"⚑ REPORT RELEASE ",""))))</f>
        <v/>
      </c>
    </row>
    <row r="49" ht="15" customHeight="1">
      <c r="A49" s="61">
        <f>IF(16&lt;='Audit Setup'!$B$13,"FW-"&amp;16,"")</f>
        <v/>
      </c>
      <c r="B49" s="35" t="inlineStr"/>
      <c r="C49" s="62">
        <f>C48+7</f>
        <v/>
      </c>
      <c r="D49" s="52" t="n">
        <v>0</v>
      </c>
      <c r="E49" s="63">
        <f>-COUNTIFS('Holidays &amp; Skeleton'!$B$5:$B$25,"&gt;="&amp;C49,'Holidays &amp; Skeleton'!$B$5:$B$25,"&lt;="&amp;(C49+4))*'Audit Setup'!$B$7</f>
        <v/>
      </c>
      <c r="F49" s="64">
        <f>-COUNTIFS('Holidays &amp; Skeleton'!$B$29:$B$36,"&gt;="&amp;C49,'Holidays &amp; Skeleton'!$B$29:$B$36,"&lt;="&amp;(C49+4))*'Audit Setup'!$B$7</f>
        <v/>
      </c>
      <c r="G49" s="55" t="n">
        <v>0</v>
      </c>
      <c r="H49" s="56">
        <f>CEILING(MAX(0,SUM(D49:G49)),1)</f>
        <v/>
      </c>
      <c r="I49" s="57" t="n"/>
      <c r="J49" s="57" t="n"/>
      <c r="K49" s="58" t="n">
        <v>0</v>
      </c>
      <c r="L49" s="65">
        <f>IF(NOT(ISNUMBER(C49)),"",TRIM(CONCATENATE(IF(AND('Audit Setup'!$C$20&gt;=C49,'Audit Setup'!$C$20&lt;=C49+4),"⚑ KICKOFF ",""),IF(AND('Audit Setup'!$C$21&gt;=C49,'Audit Setup'!$C$21&lt;=C49+4),"⚑ END OF PLANNING ",""),IF(AND('Audit Setup'!$C$22&gt;=C49,'Audit Setup'!$C$22&lt;=C49+4),"⚑ OUTLINE TO EXEC ",""),IF(AND('Audit Setup'!$C$23&gt;=C49,'Audit Setup'!$C$23&lt;=C49+4),"⚑ ON-TARGET ",""),IF(AND('Audit Setup'!$C$25&gt;=C49,'Audit Setup'!$C$25&lt;=C49+4),"⚑ DRAFT TO EXEC ",""),IF(AND('Audit Setup'!$C$26&gt;=C49,'Audit Setup'!$C$26&lt;=C49+4),"⚑ EXIT CONFERENCE ",""),IF(AND('Audit Setup'!$C$27&gt;=C49,'Audit Setup'!$C$27&lt;=C49+4),"⚑ MGMT RESPONSES DUE ",""),IF(AND('Audit Setup'!$C$32&gt;=C49,'Audit Setup'!$C$32&lt;=C49+4),"⚑ REPORT RELEASE ",""))))</f>
        <v/>
      </c>
    </row>
    <row r="50" hidden="1" ht="15" customHeight="1">
      <c r="A50" s="61">
        <f>IF(17&lt;='Audit Setup'!$B$13,"FW-"&amp;17,"")</f>
        <v/>
      </c>
      <c r="B50" s="35" t="inlineStr"/>
      <c r="C50" s="62">
        <f>C49+7</f>
        <v/>
      </c>
      <c r="D50" s="52" t="n">
        <v>0</v>
      </c>
      <c r="E50" s="63">
        <f>-COUNTIFS('Holidays &amp; Skeleton'!$B$5:$B$25,"&gt;="&amp;C50,'Holidays &amp; Skeleton'!$B$5:$B$25,"&lt;="&amp;(C50+4))*'Audit Setup'!$B$7</f>
        <v/>
      </c>
      <c r="F50" s="64">
        <f>-COUNTIFS('Holidays &amp; Skeleton'!$B$29:$B$36,"&gt;="&amp;C50,'Holidays &amp; Skeleton'!$B$29:$B$36,"&lt;="&amp;(C50+4))*'Audit Setup'!$B$7</f>
        <v/>
      </c>
      <c r="G50" s="55" t="n">
        <v>0</v>
      </c>
      <c r="H50" s="56">
        <f>CEILING(MAX(0,SUM(D50:G50)),1)</f>
        <v/>
      </c>
      <c r="I50" s="57" t="n"/>
      <c r="J50" s="57" t="n"/>
      <c r="K50" s="58" t="n">
        <v>0</v>
      </c>
      <c r="L50" s="65">
        <f>IF(NOT(ISNUMBER(C50)),"",TRIM(CONCATENATE(IF(AND('Audit Setup'!$C$20&gt;=C50,'Audit Setup'!$C$20&lt;=C50+4),"⚑ KICKOFF ",""),IF(AND('Audit Setup'!$C$21&gt;=C50,'Audit Setup'!$C$21&lt;=C50+4),"⚑ END OF PLANNING ",""),IF(AND('Audit Setup'!$C$22&gt;=C50,'Audit Setup'!$C$22&lt;=C50+4),"⚑ OUTLINE TO EXEC ",""),IF(AND('Audit Setup'!$C$23&gt;=C50,'Audit Setup'!$C$23&lt;=C50+4),"⚑ ON-TARGET ",""),IF(AND('Audit Setup'!$C$25&gt;=C50,'Audit Setup'!$C$25&lt;=C50+4),"⚑ DRAFT TO EXEC ",""),IF(AND('Audit Setup'!$C$26&gt;=C50,'Audit Setup'!$C$26&lt;=C50+4),"⚑ EXIT CONFERENCE ",""),IF(AND('Audit Setup'!$C$27&gt;=C50,'Audit Setup'!$C$27&lt;=C50+4),"⚑ MGMT RESPONSES DUE ",""),IF(AND('Audit Setup'!$C$32&gt;=C50,'Audit Setup'!$C$32&lt;=C50+4),"⚑ REPORT RELEASE ",""))))</f>
        <v/>
      </c>
    </row>
    <row r="51" hidden="1" ht="15" customHeight="1">
      <c r="A51" s="61">
        <f>IF(18&lt;='Audit Setup'!$B$13,"FW-"&amp;18,"")</f>
        <v/>
      </c>
      <c r="B51" s="35" t="inlineStr"/>
      <c r="C51" s="62">
        <f>C50+7</f>
        <v/>
      </c>
      <c r="D51" s="52" t="n">
        <v>0</v>
      </c>
      <c r="E51" s="63">
        <f>-COUNTIFS('Holidays &amp; Skeleton'!$B$5:$B$25,"&gt;="&amp;C51,'Holidays &amp; Skeleton'!$B$5:$B$25,"&lt;="&amp;(C51+4))*'Audit Setup'!$B$7</f>
        <v/>
      </c>
      <c r="F51" s="64">
        <f>-COUNTIFS('Holidays &amp; Skeleton'!$B$29:$B$36,"&gt;="&amp;C51,'Holidays &amp; Skeleton'!$B$29:$B$36,"&lt;="&amp;(C51+4))*'Audit Setup'!$B$7</f>
        <v/>
      </c>
      <c r="G51" s="55" t="n">
        <v>0</v>
      </c>
      <c r="H51" s="56">
        <f>CEILING(MAX(0,SUM(D51:G51)),1)</f>
        <v/>
      </c>
      <c r="I51" s="57" t="n"/>
      <c r="J51" s="57" t="n"/>
      <c r="K51" s="58" t="n">
        <v>0</v>
      </c>
      <c r="L51" s="65">
        <f>IF(NOT(ISNUMBER(C51)),"",TRIM(CONCATENATE(IF(AND('Audit Setup'!$C$20&gt;=C51,'Audit Setup'!$C$20&lt;=C51+4),"⚑ KICKOFF ",""),IF(AND('Audit Setup'!$C$21&gt;=C51,'Audit Setup'!$C$21&lt;=C51+4),"⚑ END OF PLANNING ",""),IF(AND('Audit Setup'!$C$22&gt;=C51,'Audit Setup'!$C$22&lt;=C51+4),"⚑ OUTLINE TO EXEC ",""),IF(AND('Audit Setup'!$C$23&gt;=C51,'Audit Setup'!$C$23&lt;=C51+4),"⚑ ON-TARGET ",""),IF(AND('Audit Setup'!$C$25&gt;=C51,'Audit Setup'!$C$25&lt;=C51+4),"⚑ DRAFT TO EXEC ",""),IF(AND('Audit Setup'!$C$26&gt;=C51,'Audit Setup'!$C$26&lt;=C51+4),"⚑ EXIT CONFERENCE ",""),IF(AND('Audit Setup'!$C$27&gt;=C51,'Audit Setup'!$C$27&lt;=C51+4),"⚑ MGMT RESPONSES DUE ",""),IF(AND('Audit Setup'!$C$32&gt;=C51,'Audit Setup'!$C$32&lt;=C51+4),"⚑ REPORT RELEASE ",""))))</f>
        <v/>
      </c>
    </row>
    <row r="52" hidden="1" ht="15" customHeight="1">
      <c r="A52" s="61">
        <f>IF(19&lt;='Audit Setup'!$B$13,"FW-"&amp;19,"")</f>
        <v/>
      </c>
      <c r="B52" s="35" t="inlineStr"/>
      <c r="C52" s="62">
        <f>C51+7</f>
        <v/>
      </c>
      <c r="D52" s="52" t="n">
        <v>0</v>
      </c>
      <c r="E52" s="63">
        <f>-COUNTIFS('Holidays &amp; Skeleton'!$B$5:$B$25,"&gt;="&amp;C52,'Holidays &amp; Skeleton'!$B$5:$B$25,"&lt;="&amp;(C52+4))*'Audit Setup'!$B$7</f>
        <v/>
      </c>
      <c r="F52" s="64">
        <f>-COUNTIFS('Holidays &amp; Skeleton'!$B$29:$B$36,"&gt;="&amp;C52,'Holidays &amp; Skeleton'!$B$29:$B$36,"&lt;="&amp;(C52+4))*'Audit Setup'!$B$7</f>
        <v/>
      </c>
      <c r="G52" s="55" t="n">
        <v>0</v>
      </c>
      <c r="H52" s="56">
        <f>CEILING(MAX(0,SUM(D52:G52)),1)</f>
        <v/>
      </c>
      <c r="I52" s="57" t="n"/>
      <c r="J52" s="57" t="n"/>
      <c r="K52" s="58" t="n">
        <v>0</v>
      </c>
      <c r="L52" s="65">
        <f>IF(NOT(ISNUMBER(C52)),"",TRIM(CONCATENATE(IF(AND('Audit Setup'!$C$20&gt;=C52,'Audit Setup'!$C$20&lt;=C52+4),"⚑ KICKOFF ",""),IF(AND('Audit Setup'!$C$21&gt;=C52,'Audit Setup'!$C$21&lt;=C52+4),"⚑ END OF PLANNING ",""),IF(AND('Audit Setup'!$C$22&gt;=C52,'Audit Setup'!$C$22&lt;=C52+4),"⚑ OUTLINE TO EXEC ",""),IF(AND('Audit Setup'!$C$23&gt;=C52,'Audit Setup'!$C$23&lt;=C52+4),"⚑ ON-TARGET ",""),IF(AND('Audit Setup'!$C$25&gt;=C52,'Audit Setup'!$C$25&lt;=C52+4),"⚑ DRAFT TO EXEC ",""),IF(AND('Audit Setup'!$C$26&gt;=C52,'Audit Setup'!$C$26&lt;=C52+4),"⚑ EXIT CONFERENCE ",""),IF(AND('Audit Setup'!$C$27&gt;=C52,'Audit Setup'!$C$27&lt;=C52+4),"⚑ MGMT RESPONSES DUE ",""),IF(AND('Audit Setup'!$C$32&gt;=C52,'Audit Setup'!$C$32&lt;=C52+4),"⚑ REPORT RELEASE ",""))))</f>
        <v/>
      </c>
    </row>
    <row r="53" hidden="1" ht="15" customHeight="1">
      <c r="A53" s="61">
        <f>IF(20&lt;='Audit Setup'!$B$13,"FW-"&amp;20,"")</f>
        <v/>
      </c>
      <c r="B53" s="35" t="inlineStr"/>
      <c r="C53" s="62">
        <f>C52+7</f>
        <v/>
      </c>
      <c r="D53" s="52" t="n">
        <v>0</v>
      </c>
      <c r="E53" s="63">
        <f>-COUNTIFS('Holidays &amp; Skeleton'!$B$5:$B$25,"&gt;="&amp;C53,'Holidays &amp; Skeleton'!$B$5:$B$25,"&lt;="&amp;(C53+4))*'Audit Setup'!$B$7</f>
        <v/>
      </c>
      <c r="F53" s="64">
        <f>-COUNTIFS('Holidays &amp; Skeleton'!$B$29:$B$36,"&gt;="&amp;C53,'Holidays &amp; Skeleton'!$B$29:$B$36,"&lt;="&amp;(C53+4))*'Audit Setup'!$B$7</f>
        <v/>
      </c>
      <c r="G53" s="55" t="n">
        <v>0</v>
      </c>
      <c r="H53" s="56">
        <f>CEILING(MAX(0,SUM(D53:G53)),1)</f>
        <v/>
      </c>
      <c r="I53" s="57" t="n"/>
      <c r="J53" s="57" t="n"/>
      <c r="K53" s="58" t="n">
        <v>0</v>
      </c>
      <c r="L53" s="65">
        <f>IF(NOT(ISNUMBER(C53)),"",TRIM(CONCATENATE(IF(AND('Audit Setup'!$C$20&gt;=C53,'Audit Setup'!$C$20&lt;=C53+4),"⚑ KICKOFF ",""),IF(AND('Audit Setup'!$C$21&gt;=C53,'Audit Setup'!$C$21&lt;=C53+4),"⚑ END OF PLANNING ",""),IF(AND('Audit Setup'!$C$22&gt;=C53,'Audit Setup'!$C$22&lt;=C53+4),"⚑ OUTLINE TO EXEC ",""),IF(AND('Audit Setup'!$C$23&gt;=C53,'Audit Setup'!$C$23&lt;=C53+4),"⚑ ON-TARGET ",""),IF(AND('Audit Setup'!$C$25&gt;=C53,'Audit Setup'!$C$25&lt;=C53+4),"⚑ DRAFT TO EXEC ",""),IF(AND('Audit Setup'!$C$26&gt;=C53,'Audit Setup'!$C$26&lt;=C53+4),"⚑ EXIT CONFERENCE ",""),IF(AND('Audit Setup'!$C$27&gt;=C53,'Audit Setup'!$C$27&lt;=C53+4),"⚑ MGMT RESPONSES DUE ",""),IF(AND('Audit Setup'!$C$32&gt;=C53,'Audit Setup'!$C$32&lt;=C53+4),"⚑ REPORT RELEASE ",""))))</f>
        <v/>
      </c>
    </row>
    <row r="54" hidden="1" ht="15" customHeight="1">
      <c r="A54" s="61">
        <f>IF(21&lt;='Audit Setup'!$B$13,"FW-"&amp;21,"")</f>
        <v/>
      </c>
      <c r="B54" s="35" t="inlineStr"/>
      <c r="C54" s="62">
        <f>C53+7</f>
        <v/>
      </c>
      <c r="D54" s="52" t="n">
        <v>0</v>
      </c>
      <c r="E54" s="63">
        <f>-COUNTIFS('Holidays &amp; Skeleton'!$B$5:$B$25,"&gt;="&amp;C54,'Holidays &amp; Skeleton'!$B$5:$B$25,"&lt;="&amp;(C54+4))*'Audit Setup'!$B$7</f>
        <v/>
      </c>
      <c r="F54" s="64">
        <f>-COUNTIFS('Holidays &amp; Skeleton'!$B$29:$B$36,"&gt;="&amp;C54,'Holidays &amp; Skeleton'!$B$29:$B$36,"&lt;="&amp;(C54+4))*'Audit Setup'!$B$7</f>
        <v/>
      </c>
      <c r="G54" s="55" t="n">
        <v>0</v>
      </c>
      <c r="H54" s="56">
        <f>CEILING(MAX(0,SUM(D54:G54)),1)</f>
        <v/>
      </c>
      <c r="I54" s="57" t="n"/>
      <c r="J54" s="57" t="n"/>
      <c r="K54" s="58" t="n">
        <v>0</v>
      </c>
      <c r="L54" s="65">
        <f>IF(NOT(ISNUMBER(C54)),"",TRIM(CONCATENATE(IF(AND('Audit Setup'!$C$20&gt;=C54,'Audit Setup'!$C$20&lt;=C54+4),"⚑ KICKOFF ",""),IF(AND('Audit Setup'!$C$21&gt;=C54,'Audit Setup'!$C$21&lt;=C54+4),"⚑ END OF PLANNING ",""),IF(AND('Audit Setup'!$C$22&gt;=C54,'Audit Setup'!$C$22&lt;=C54+4),"⚑ OUTLINE TO EXEC ",""),IF(AND('Audit Setup'!$C$23&gt;=C54,'Audit Setup'!$C$23&lt;=C54+4),"⚑ ON-TARGET ",""),IF(AND('Audit Setup'!$C$25&gt;=C54,'Audit Setup'!$C$25&lt;=C54+4),"⚑ DRAFT TO EXEC ",""),IF(AND('Audit Setup'!$C$26&gt;=C54,'Audit Setup'!$C$26&lt;=C54+4),"⚑ EXIT CONFERENCE ",""),IF(AND('Audit Setup'!$C$27&gt;=C54,'Audit Setup'!$C$27&lt;=C54+4),"⚑ MGMT RESPONSES DUE ",""),IF(AND('Audit Setup'!$C$32&gt;=C54,'Audit Setup'!$C$32&lt;=C54+4),"⚑ REPORT RELEASE ",""))))</f>
        <v/>
      </c>
    </row>
    <row r="55" hidden="1" ht="15" customHeight="1">
      <c r="A55" s="61">
        <f>IF(22&lt;='Audit Setup'!$B$13,"FW-"&amp;22,"")</f>
        <v/>
      </c>
      <c r="B55" s="35" t="inlineStr"/>
      <c r="C55" s="62">
        <f>C54+7</f>
        <v/>
      </c>
      <c r="D55" s="52" t="n">
        <v>0</v>
      </c>
      <c r="E55" s="63">
        <f>-COUNTIFS('Holidays &amp; Skeleton'!$B$5:$B$25,"&gt;="&amp;C55,'Holidays &amp; Skeleton'!$B$5:$B$25,"&lt;="&amp;(C55+4))*'Audit Setup'!$B$7</f>
        <v/>
      </c>
      <c r="F55" s="64">
        <f>-COUNTIFS('Holidays &amp; Skeleton'!$B$29:$B$36,"&gt;="&amp;C55,'Holidays &amp; Skeleton'!$B$29:$B$36,"&lt;="&amp;(C55+4))*'Audit Setup'!$B$7</f>
        <v/>
      </c>
      <c r="G55" s="55" t="n">
        <v>0</v>
      </c>
      <c r="H55" s="56">
        <f>CEILING(MAX(0,SUM(D55:G55)),1)</f>
        <v/>
      </c>
      <c r="I55" s="57" t="n"/>
      <c r="J55" s="57" t="n"/>
      <c r="K55" s="58" t="n">
        <v>0</v>
      </c>
      <c r="L55" s="65">
        <f>IF(NOT(ISNUMBER(C55)),"",TRIM(CONCATENATE(IF(AND('Audit Setup'!$C$20&gt;=C55,'Audit Setup'!$C$20&lt;=C55+4),"⚑ KICKOFF ",""),IF(AND('Audit Setup'!$C$21&gt;=C55,'Audit Setup'!$C$21&lt;=C55+4),"⚑ END OF PLANNING ",""),IF(AND('Audit Setup'!$C$22&gt;=C55,'Audit Setup'!$C$22&lt;=C55+4),"⚑ OUTLINE TO EXEC ",""),IF(AND('Audit Setup'!$C$23&gt;=C55,'Audit Setup'!$C$23&lt;=C55+4),"⚑ ON-TARGET ",""),IF(AND('Audit Setup'!$C$25&gt;=C55,'Audit Setup'!$C$25&lt;=C55+4),"⚑ DRAFT TO EXEC ",""),IF(AND('Audit Setup'!$C$26&gt;=C55,'Audit Setup'!$C$26&lt;=C55+4),"⚑ EXIT CONFERENCE ",""),IF(AND('Audit Setup'!$C$27&gt;=C55,'Audit Setup'!$C$27&lt;=C55+4),"⚑ MGMT RESPONSES DUE ",""),IF(AND('Audit Setup'!$C$32&gt;=C55,'Audit Setup'!$C$32&lt;=C55+4),"⚑ REPORT RELEASE ",""))))</f>
        <v/>
      </c>
    </row>
    <row r="56" hidden="1" ht="15" customHeight="1">
      <c r="A56" s="61">
        <f>IF(23&lt;='Audit Setup'!$B$13,"FW-"&amp;23,"")</f>
        <v/>
      </c>
      <c r="B56" s="35" t="inlineStr"/>
      <c r="C56" s="62">
        <f>C55+7</f>
        <v/>
      </c>
      <c r="D56" s="52" t="n">
        <v>0</v>
      </c>
      <c r="E56" s="63">
        <f>-COUNTIFS('Holidays &amp; Skeleton'!$B$5:$B$25,"&gt;="&amp;C56,'Holidays &amp; Skeleton'!$B$5:$B$25,"&lt;="&amp;(C56+4))*'Audit Setup'!$B$7</f>
        <v/>
      </c>
      <c r="F56" s="64">
        <f>-COUNTIFS('Holidays &amp; Skeleton'!$B$29:$B$36,"&gt;="&amp;C56,'Holidays &amp; Skeleton'!$B$29:$B$36,"&lt;="&amp;(C56+4))*'Audit Setup'!$B$7</f>
        <v/>
      </c>
      <c r="G56" s="55" t="n">
        <v>0</v>
      </c>
      <c r="H56" s="56">
        <f>CEILING(MAX(0,SUM(D56:G56)),1)</f>
        <v/>
      </c>
      <c r="I56" s="57" t="n"/>
      <c r="J56" s="57" t="n"/>
      <c r="K56" s="58" t="n">
        <v>0</v>
      </c>
      <c r="L56" s="65">
        <f>IF(NOT(ISNUMBER(C56)),"",TRIM(CONCATENATE(IF(AND('Audit Setup'!$C$20&gt;=C56,'Audit Setup'!$C$20&lt;=C56+4),"⚑ KICKOFF ",""),IF(AND('Audit Setup'!$C$21&gt;=C56,'Audit Setup'!$C$21&lt;=C56+4),"⚑ END OF PLANNING ",""),IF(AND('Audit Setup'!$C$22&gt;=C56,'Audit Setup'!$C$22&lt;=C56+4),"⚑ OUTLINE TO EXEC ",""),IF(AND('Audit Setup'!$C$23&gt;=C56,'Audit Setup'!$C$23&lt;=C56+4),"⚑ ON-TARGET ",""),IF(AND('Audit Setup'!$C$25&gt;=C56,'Audit Setup'!$C$25&lt;=C56+4),"⚑ DRAFT TO EXEC ",""),IF(AND('Audit Setup'!$C$26&gt;=C56,'Audit Setup'!$C$26&lt;=C56+4),"⚑ EXIT CONFERENCE ",""),IF(AND('Audit Setup'!$C$27&gt;=C56,'Audit Setup'!$C$27&lt;=C56+4),"⚑ MGMT RESPONSES DUE ",""),IF(AND('Audit Setup'!$C$32&gt;=C56,'Audit Setup'!$C$32&lt;=C56+4),"⚑ REPORT RELEASE ",""))))</f>
        <v/>
      </c>
    </row>
    <row r="57" hidden="1" ht="15" customHeight="1">
      <c r="A57" s="61">
        <f>IF(24&lt;='Audit Setup'!$B$13,"FW-"&amp;24,"")</f>
        <v/>
      </c>
      <c r="B57" s="35" t="inlineStr"/>
      <c r="C57" s="62">
        <f>C56+7</f>
        <v/>
      </c>
      <c r="D57" s="52" t="n">
        <v>0</v>
      </c>
      <c r="E57" s="63">
        <f>-COUNTIFS('Holidays &amp; Skeleton'!$B$5:$B$25,"&gt;="&amp;C57,'Holidays &amp; Skeleton'!$B$5:$B$25,"&lt;="&amp;(C57+4))*'Audit Setup'!$B$7</f>
        <v/>
      </c>
      <c r="F57" s="64">
        <f>-COUNTIFS('Holidays &amp; Skeleton'!$B$29:$B$36,"&gt;="&amp;C57,'Holidays &amp; Skeleton'!$B$29:$B$36,"&lt;="&amp;(C57+4))*'Audit Setup'!$B$7</f>
        <v/>
      </c>
      <c r="G57" s="55" t="n">
        <v>0</v>
      </c>
      <c r="H57" s="56">
        <f>CEILING(MAX(0,SUM(D57:G57)),1)</f>
        <v/>
      </c>
      <c r="I57" s="57" t="n"/>
      <c r="J57" s="57" t="n"/>
      <c r="K57" s="58" t="n">
        <v>0</v>
      </c>
      <c r="L57" s="65">
        <f>IF(NOT(ISNUMBER(C57)),"",TRIM(CONCATENATE(IF(AND('Audit Setup'!$C$20&gt;=C57,'Audit Setup'!$C$20&lt;=C57+4),"⚑ KICKOFF ",""),IF(AND('Audit Setup'!$C$21&gt;=C57,'Audit Setup'!$C$21&lt;=C57+4),"⚑ END OF PLANNING ",""),IF(AND('Audit Setup'!$C$22&gt;=C57,'Audit Setup'!$C$22&lt;=C57+4),"⚑ OUTLINE TO EXEC ",""),IF(AND('Audit Setup'!$C$23&gt;=C57,'Audit Setup'!$C$23&lt;=C57+4),"⚑ ON-TARGET ",""),IF(AND('Audit Setup'!$C$25&gt;=C57,'Audit Setup'!$C$25&lt;=C57+4),"⚑ DRAFT TO EXEC ",""),IF(AND('Audit Setup'!$C$26&gt;=C57,'Audit Setup'!$C$26&lt;=C57+4),"⚑ EXIT CONFERENCE ",""),IF(AND('Audit Setup'!$C$27&gt;=C57,'Audit Setup'!$C$27&lt;=C57+4),"⚑ MGMT RESPONSES DUE ",""),IF(AND('Audit Setup'!$C$32&gt;=C57,'Audit Setup'!$C$32&lt;=C57+4),"⚑ REPORT RELEASE ",""))))</f>
        <v/>
      </c>
    </row>
    <row r="58" hidden="1" ht="15" customHeight="1">
      <c r="A58" s="61">
        <f>IF(25&lt;='Audit Setup'!$B$13,"FW-"&amp;25,"")</f>
        <v/>
      </c>
      <c r="B58" s="35" t="inlineStr"/>
      <c r="C58" s="62">
        <f>C57+7</f>
        <v/>
      </c>
      <c r="D58" s="52" t="n">
        <v>0</v>
      </c>
      <c r="E58" s="63">
        <f>-COUNTIFS('Holidays &amp; Skeleton'!$B$5:$B$25,"&gt;="&amp;C58,'Holidays &amp; Skeleton'!$B$5:$B$25,"&lt;="&amp;(C58+4))*'Audit Setup'!$B$7</f>
        <v/>
      </c>
      <c r="F58" s="64">
        <f>-COUNTIFS('Holidays &amp; Skeleton'!$B$29:$B$36,"&gt;="&amp;C58,'Holidays &amp; Skeleton'!$B$29:$B$36,"&lt;="&amp;(C58+4))*'Audit Setup'!$B$7</f>
        <v/>
      </c>
      <c r="G58" s="55" t="n">
        <v>0</v>
      </c>
      <c r="H58" s="56">
        <f>CEILING(MAX(0,SUM(D58:G58)),1)</f>
        <v/>
      </c>
      <c r="I58" s="57" t="n"/>
      <c r="J58" s="57" t="n"/>
      <c r="K58" s="58" t="n">
        <v>0</v>
      </c>
      <c r="L58" s="65">
        <f>IF(NOT(ISNUMBER(C58)),"",TRIM(CONCATENATE(IF(AND('Audit Setup'!$C$20&gt;=C58,'Audit Setup'!$C$20&lt;=C58+4),"⚑ KICKOFF ",""),IF(AND('Audit Setup'!$C$21&gt;=C58,'Audit Setup'!$C$21&lt;=C58+4),"⚑ END OF PLANNING ",""),IF(AND('Audit Setup'!$C$22&gt;=C58,'Audit Setup'!$C$22&lt;=C58+4),"⚑ OUTLINE TO EXEC ",""),IF(AND('Audit Setup'!$C$23&gt;=C58,'Audit Setup'!$C$23&lt;=C58+4),"⚑ ON-TARGET ",""),IF(AND('Audit Setup'!$C$25&gt;=C58,'Audit Setup'!$C$25&lt;=C58+4),"⚑ DRAFT TO EXEC ",""),IF(AND('Audit Setup'!$C$26&gt;=C58,'Audit Setup'!$C$26&lt;=C58+4),"⚑ EXIT CONFERENCE ",""),IF(AND('Audit Setup'!$C$27&gt;=C58,'Audit Setup'!$C$27&lt;=C58+4),"⚑ MGMT RESPONSES DUE ",""),IF(AND('Audit Setup'!$C$32&gt;=C58,'Audit Setup'!$C$32&lt;=C58+4),"⚑ REPORT RELEASE ",""))))</f>
        <v/>
      </c>
    </row>
    <row r="59" hidden="1" ht="15" customHeight="1">
      <c r="A59" s="61">
        <f>IF(26&lt;='Audit Setup'!$B$13,"FW-"&amp;26,"")</f>
        <v/>
      </c>
      <c r="B59" s="35" t="inlineStr"/>
      <c r="C59" s="62">
        <f>C58+7</f>
        <v/>
      </c>
      <c r="D59" s="52" t="n">
        <v>0</v>
      </c>
      <c r="E59" s="63">
        <f>-COUNTIFS('Holidays &amp; Skeleton'!$B$5:$B$25,"&gt;="&amp;C59,'Holidays &amp; Skeleton'!$B$5:$B$25,"&lt;="&amp;(C59+4))*'Audit Setup'!$B$7</f>
        <v/>
      </c>
      <c r="F59" s="64">
        <f>-COUNTIFS('Holidays &amp; Skeleton'!$B$29:$B$36,"&gt;="&amp;C59,'Holidays &amp; Skeleton'!$B$29:$B$36,"&lt;="&amp;(C59+4))*'Audit Setup'!$B$7</f>
        <v/>
      </c>
      <c r="G59" s="55" t="n">
        <v>0</v>
      </c>
      <c r="H59" s="56">
        <f>CEILING(MAX(0,SUM(D59:G59)),1)</f>
        <v/>
      </c>
      <c r="I59" s="57" t="n"/>
      <c r="J59" s="57" t="n"/>
      <c r="K59" s="58" t="n">
        <v>0</v>
      </c>
      <c r="L59" s="65">
        <f>IF(NOT(ISNUMBER(C59)),"",TRIM(CONCATENATE(IF(AND('Audit Setup'!$C$20&gt;=C59,'Audit Setup'!$C$20&lt;=C59+4),"⚑ KICKOFF ",""),IF(AND('Audit Setup'!$C$21&gt;=C59,'Audit Setup'!$C$21&lt;=C59+4),"⚑ END OF PLANNING ",""),IF(AND('Audit Setup'!$C$22&gt;=C59,'Audit Setup'!$C$22&lt;=C59+4),"⚑ OUTLINE TO EXEC ",""),IF(AND('Audit Setup'!$C$23&gt;=C59,'Audit Setup'!$C$23&lt;=C59+4),"⚑ ON-TARGET ",""),IF(AND('Audit Setup'!$C$25&gt;=C59,'Audit Setup'!$C$25&lt;=C59+4),"⚑ DRAFT TO EXEC ",""),IF(AND('Audit Setup'!$C$26&gt;=C59,'Audit Setup'!$C$26&lt;=C59+4),"⚑ EXIT CONFERENCE ",""),IF(AND('Audit Setup'!$C$27&gt;=C59,'Audit Setup'!$C$27&lt;=C59+4),"⚑ MGMT RESPONSES DUE ",""),IF(AND('Audit Setup'!$C$32&gt;=C59,'Audit Setup'!$C$32&lt;=C59+4),"⚑ REPORT RELEASE ",""))))</f>
        <v/>
      </c>
    </row>
    <row r="60" hidden="1" ht="15" customHeight="1">
      <c r="A60" s="61">
        <f>IF(27&lt;='Audit Setup'!$B$13,"FW-"&amp;27,"")</f>
        <v/>
      </c>
      <c r="B60" s="35" t="inlineStr"/>
      <c r="C60" s="62">
        <f>C59+7</f>
        <v/>
      </c>
      <c r="D60" s="52" t="n">
        <v>0</v>
      </c>
      <c r="E60" s="63">
        <f>-COUNTIFS('Holidays &amp; Skeleton'!$B$5:$B$25,"&gt;="&amp;C60,'Holidays &amp; Skeleton'!$B$5:$B$25,"&lt;="&amp;(C60+4))*'Audit Setup'!$B$7</f>
        <v/>
      </c>
      <c r="F60" s="64">
        <f>-COUNTIFS('Holidays &amp; Skeleton'!$B$29:$B$36,"&gt;="&amp;C60,'Holidays &amp; Skeleton'!$B$29:$B$36,"&lt;="&amp;(C60+4))*'Audit Setup'!$B$7</f>
        <v/>
      </c>
      <c r="G60" s="55" t="n">
        <v>0</v>
      </c>
      <c r="H60" s="56">
        <f>CEILING(MAX(0,SUM(D60:G60)),1)</f>
        <v/>
      </c>
      <c r="I60" s="57" t="n"/>
      <c r="J60" s="57" t="n"/>
      <c r="K60" s="58" t="n">
        <v>0</v>
      </c>
      <c r="L60" s="65">
        <f>IF(NOT(ISNUMBER(C60)),"",TRIM(CONCATENATE(IF(AND('Audit Setup'!$C$20&gt;=C60,'Audit Setup'!$C$20&lt;=C60+4),"⚑ KICKOFF ",""),IF(AND('Audit Setup'!$C$21&gt;=C60,'Audit Setup'!$C$21&lt;=C60+4),"⚑ END OF PLANNING ",""),IF(AND('Audit Setup'!$C$22&gt;=C60,'Audit Setup'!$C$22&lt;=C60+4),"⚑ OUTLINE TO EXEC ",""),IF(AND('Audit Setup'!$C$23&gt;=C60,'Audit Setup'!$C$23&lt;=C60+4),"⚑ ON-TARGET ",""),IF(AND('Audit Setup'!$C$25&gt;=C60,'Audit Setup'!$C$25&lt;=C60+4),"⚑ DRAFT TO EXEC ",""),IF(AND('Audit Setup'!$C$26&gt;=C60,'Audit Setup'!$C$26&lt;=C60+4),"⚑ EXIT CONFERENCE ",""),IF(AND('Audit Setup'!$C$27&gt;=C60,'Audit Setup'!$C$27&lt;=C60+4),"⚑ MGMT RESPONSES DUE ",""),IF(AND('Audit Setup'!$C$32&gt;=C60,'Audit Setup'!$C$32&lt;=C60+4),"⚑ REPORT RELEASE ",""))))</f>
        <v/>
      </c>
    </row>
    <row r="61" hidden="1" ht="15" customHeight="1">
      <c r="A61" s="61">
        <f>IF(28&lt;='Audit Setup'!$B$13,"FW-"&amp;28,"")</f>
        <v/>
      </c>
      <c r="B61" s="35" t="inlineStr"/>
      <c r="C61" s="62">
        <f>C60+7</f>
        <v/>
      </c>
      <c r="D61" s="52" t="n">
        <v>0</v>
      </c>
      <c r="E61" s="63">
        <f>-COUNTIFS('Holidays &amp; Skeleton'!$B$5:$B$25,"&gt;="&amp;C61,'Holidays &amp; Skeleton'!$B$5:$B$25,"&lt;="&amp;(C61+4))*'Audit Setup'!$B$7</f>
        <v/>
      </c>
      <c r="F61" s="64">
        <f>-COUNTIFS('Holidays &amp; Skeleton'!$B$29:$B$36,"&gt;="&amp;C61,'Holidays &amp; Skeleton'!$B$29:$B$36,"&lt;="&amp;(C61+4))*'Audit Setup'!$B$7</f>
        <v/>
      </c>
      <c r="G61" s="55" t="n">
        <v>0</v>
      </c>
      <c r="H61" s="56">
        <f>CEILING(MAX(0,SUM(D61:G61)),1)</f>
        <v/>
      </c>
      <c r="I61" s="57" t="n"/>
      <c r="J61" s="57" t="n"/>
      <c r="K61" s="58" t="n">
        <v>0</v>
      </c>
      <c r="L61" s="65">
        <f>IF(NOT(ISNUMBER(C61)),"",TRIM(CONCATENATE(IF(AND('Audit Setup'!$C$20&gt;=C61,'Audit Setup'!$C$20&lt;=C61+4),"⚑ KICKOFF ",""),IF(AND('Audit Setup'!$C$21&gt;=C61,'Audit Setup'!$C$21&lt;=C61+4),"⚑ END OF PLANNING ",""),IF(AND('Audit Setup'!$C$22&gt;=C61,'Audit Setup'!$C$22&lt;=C61+4),"⚑ OUTLINE TO EXEC ",""),IF(AND('Audit Setup'!$C$23&gt;=C61,'Audit Setup'!$C$23&lt;=C61+4),"⚑ ON-TARGET ",""),IF(AND('Audit Setup'!$C$25&gt;=C61,'Audit Setup'!$C$25&lt;=C61+4),"⚑ DRAFT TO EXEC ",""),IF(AND('Audit Setup'!$C$26&gt;=C61,'Audit Setup'!$C$26&lt;=C61+4),"⚑ EXIT CONFERENCE ",""),IF(AND('Audit Setup'!$C$27&gt;=C61,'Audit Setup'!$C$27&lt;=C61+4),"⚑ MGMT RESPONSES DUE ",""),IF(AND('Audit Setup'!$C$32&gt;=C61,'Audit Setup'!$C$32&lt;=C61+4),"⚑ REPORT RELEASE ",""))))</f>
        <v/>
      </c>
    </row>
    <row r="62" hidden="1" ht="15" customHeight="1">
      <c r="A62" s="61">
        <f>IF(29&lt;='Audit Setup'!$B$13,"FW-"&amp;29,"")</f>
        <v/>
      </c>
      <c r="B62" s="35" t="inlineStr"/>
      <c r="C62" s="62">
        <f>C61+7</f>
        <v/>
      </c>
      <c r="D62" s="52" t="n">
        <v>0</v>
      </c>
      <c r="E62" s="63">
        <f>-COUNTIFS('Holidays &amp; Skeleton'!$B$5:$B$25,"&gt;="&amp;C62,'Holidays &amp; Skeleton'!$B$5:$B$25,"&lt;="&amp;(C62+4))*'Audit Setup'!$B$7</f>
        <v/>
      </c>
      <c r="F62" s="64">
        <f>-COUNTIFS('Holidays &amp; Skeleton'!$B$29:$B$36,"&gt;="&amp;C62,'Holidays &amp; Skeleton'!$B$29:$B$36,"&lt;="&amp;(C62+4))*'Audit Setup'!$B$7</f>
        <v/>
      </c>
      <c r="G62" s="55" t="n">
        <v>0</v>
      </c>
      <c r="H62" s="56">
        <f>CEILING(MAX(0,SUM(D62:G62)),1)</f>
        <v/>
      </c>
      <c r="I62" s="57" t="n"/>
      <c r="J62" s="57" t="n"/>
      <c r="K62" s="58" t="n">
        <v>0</v>
      </c>
      <c r="L62" s="65">
        <f>IF(NOT(ISNUMBER(C62)),"",TRIM(CONCATENATE(IF(AND('Audit Setup'!$C$20&gt;=C62,'Audit Setup'!$C$20&lt;=C62+4),"⚑ KICKOFF ",""),IF(AND('Audit Setup'!$C$21&gt;=C62,'Audit Setup'!$C$21&lt;=C62+4),"⚑ END OF PLANNING ",""),IF(AND('Audit Setup'!$C$22&gt;=C62,'Audit Setup'!$C$22&lt;=C62+4),"⚑ OUTLINE TO EXEC ",""),IF(AND('Audit Setup'!$C$23&gt;=C62,'Audit Setup'!$C$23&lt;=C62+4),"⚑ ON-TARGET ",""),IF(AND('Audit Setup'!$C$25&gt;=C62,'Audit Setup'!$C$25&lt;=C62+4),"⚑ DRAFT TO EXEC ",""),IF(AND('Audit Setup'!$C$26&gt;=C62,'Audit Setup'!$C$26&lt;=C62+4),"⚑ EXIT CONFERENCE ",""),IF(AND('Audit Setup'!$C$27&gt;=C62,'Audit Setup'!$C$27&lt;=C62+4),"⚑ MGMT RESPONSES DUE ",""),IF(AND('Audit Setup'!$C$32&gt;=C62,'Audit Setup'!$C$32&lt;=C62+4),"⚑ REPORT RELEASE ",""))))</f>
        <v/>
      </c>
    </row>
    <row r="63" hidden="1" ht="15" customHeight="1">
      <c r="A63" s="61">
        <f>IF(30&lt;='Audit Setup'!$B$13,"FW-"&amp;30,"")</f>
        <v/>
      </c>
      <c r="B63" s="35" t="inlineStr"/>
      <c r="C63" s="62">
        <f>C62+7</f>
        <v/>
      </c>
      <c r="D63" s="52" t="n">
        <v>0</v>
      </c>
      <c r="E63" s="63">
        <f>-COUNTIFS('Holidays &amp; Skeleton'!$B$5:$B$25,"&gt;="&amp;C63,'Holidays &amp; Skeleton'!$B$5:$B$25,"&lt;="&amp;(C63+4))*'Audit Setup'!$B$7</f>
        <v/>
      </c>
      <c r="F63" s="64">
        <f>-COUNTIFS('Holidays &amp; Skeleton'!$B$29:$B$36,"&gt;="&amp;C63,'Holidays &amp; Skeleton'!$B$29:$B$36,"&lt;="&amp;(C63+4))*'Audit Setup'!$B$7</f>
        <v/>
      </c>
      <c r="G63" s="55" t="n">
        <v>0</v>
      </c>
      <c r="H63" s="56">
        <f>CEILING(MAX(0,SUM(D63:G63)),1)</f>
        <v/>
      </c>
      <c r="I63" s="57" t="n"/>
      <c r="J63" s="57" t="n"/>
      <c r="K63" s="58" t="n">
        <v>0</v>
      </c>
      <c r="L63" s="65">
        <f>IF(NOT(ISNUMBER(C63)),"",TRIM(CONCATENATE(IF(AND('Audit Setup'!$C$20&gt;=C63,'Audit Setup'!$C$20&lt;=C63+4),"⚑ KICKOFF ",""),IF(AND('Audit Setup'!$C$21&gt;=C63,'Audit Setup'!$C$21&lt;=C63+4),"⚑ END OF PLANNING ",""),IF(AND('Audit Setup'!$C$22&gt;=C63,'Audit Setup'!$C$22&lt;=C63+4),"⚑ OUTLINE TO EXEC ",""),IF(AND('Audit Setup'!$C$23&gt;=C63,'Audit Setup'!$C$23&lt;=C63+4),"⚑ ON-TARGET ",""),IF(AND('Audit Setup'!$C$25&gt;=C63,'Audit Setup'!$C$25&lt;=C63+4),"⚑ DRAFT TO EXEC ",""),IF(AND('Audit Setup'!$C$26&gt;=C63,'Audit Setup'!$C$26&lt;=C63+4),"⚑ EXIT CONFERENCE ",""),IF(AND('Audit Setup'!$C$27&gt;=C63,'Audit Setup'!$C$27&lt;=C63+4),"⚑ MGMT RESPONSES DUE ",""),IF(AND('Audit Setup'!$C$32&gt;=C63,'Audit Setup'!$C$32&lt;=C63+4),"⚑ REPORT RELEASE ",""))))</f>
        <v/>
      </c>
    </row>
    <row r="64" hidden="1" ht="15" customHeight="1">
      <c r="A64" s="61">
        <f>IF(31&lt;='Audit Setup'!$B$13,"FW-"&amp;31,"")</f>
        <v/>
      </c>
      <c r="B64" s="35" t="inlineStr"/>
      <c r="C64" s="62">
        <f>C63+7</f>
        <v/>
      </c>
      <c r="D64" s="52" t="n">
        <v>0</v>
      </c>
      <c r="E64" s="63">
        <f>-COUNTIFS('Holidays &amp; Skeleton'!$B$5:$B$25,"&gt;="&amp;C64,'Holidays &amp; Skeleton'!$B$5:$B$25,"&lt;="&amp;(C64+4))*'Audit Setup'!$B$7</f>
        <v/>
      </c>
      <c r="F64" s="64">
        <f>-COUNTIFS('Holidays &amp; Skeleton'!$B$29:$B$36,"&gt;="&amp;C64,'Holidays &amp; Skeleton'!$B$29:$B$36,"&lt;="&amp;(C64+4))*'Audit Setup'!$B$7</f>
        <v/>
      </c>
      <c r="G64" s="55" t="n">
        <v>0</v>
      </c>
      <c r="H64" s="56">
        <f>CEILING(MAX(0,SUM(D64:G64)),1)</f>
        <v/>
      </c>
      <c r="I64" s="57" t="n"/>
      <c r="J64" s="57" t="n"/>
      <c r="K64" s="58" t="n">
        <v>0</v>
      </c>
      <c r="L64" s="65">
        <f>IF(NOT(ISNUMBER(C64)),"",TRIM(CONCATENATE(IF(AND('Audit Setup'!$C$20&gt;=C64,'Audit Setup'!$C$20&lt;=C64+4),"⚑ KICKOFF ",""),IF(AND('Audit Setup'!$C$21&gt;=C64,'Audit Setup'!$C$21&lt;=C64+4),"⚑ END OF PLANNING ",""),IF(AND('Audit Setup'!$C$22&gt;=C64,'Audit Setup'!$C$22&lt;=C64+4),"⚑ OUTLINE TO EXEC ",""),IF(AND('Audit Setup'!$C$23&gt;=C64,'Audit Setup'!$C$23&lt;=C64+4),"⚑ ON-TARGET ",""),IF(AND('Audit Setup'!$C$25&gt;=C64,'Audit Setup'!$C$25&lt;=C64+4),"⚑ DRAFT TO EXEC ",""),IF(AND('Audit Setup'!$C$26&gt;=C64,'Audit Setup'!$C$26&lt;=C64+4),"⚑ EXIT CONFERENCE ",""),IF(AND('Audit Setup'!$C$27&gt;=C64,'Audit Setup'!$C$27&lt;=C64+4),"⚑ MGMT RESPONSES DUE ",""),IF(AND('Audit Setup'!$C$32&gt;=C64,'Audit Setup'!$C$32&lt;=C64+4),"⚑ REPORT RELEASE ",""))))</f>
        <v/>
      </c>
    </row>
    <row r="65" hidden="1" ht="15" customHeight="1">
      <c r="A65" s="61">
        <f>IF(32&lt;='Audit Setup'!$B$13,"FW-"&amp;32,"")</f>
        <v/>
      </c>
      <c r="B65" s="35" t="inlineStr"/>
      <c r="C65" s="62">
        <f>C64+7</f>
        <v/>
      </c>
      <c r="D65" s="52" t="n">
        <v>0</v>
      </c>
      <c r="E65" s="63">
        <f>-COUNTIFS('Holidays &amp; Skeleton'!$B$5:$B$25,"&gt;="&amp;C65,'Holidays &amp; Skeleton'!$B$5:$B$25,"&lt;="&amp;(C65+4))*'Audit Setup'!$B$7</f>
        <v/>
      </c>
      <c r="F65" s="64">
        <f>-COUNTIFS('Holidays &amp; Skeleton'!$B$29:$B$36,"&gt;="&amp;C65,'Holidays &amp; Skeleton'!$B$29:$B$36,"&lt;="&amp;(C65+4))*'Audit Setup'!$B$7</f>
        <v/>
      </c>
      <c r="G65" s="55" t="n">
        <v>0</v>
      </c>
      <c r="H65" s="56">
        <f>CEILING(MAX(0,SUM(D65:G65)),1)</f>
        <v/>
      </c>
      <c r="I65" s="57" t="n"/>
      <c r="J65" s="57" t="n"/>
      <c r="K65" s="58" t="n">
        <v>0</v>
      </c>
      <c r="L65" s="65">
        <f>IF(NOT(ISNUMBER(C65)),"",TRIM(CONCATENATE(IF(AND('Audit Setup'!$C$20&gt;=C65,'Audit Setup'!$C$20&lt;=C65+4),"⚑ KICKOFF ",""),IF(AND('Audit Setup'!$C$21&gt;=C65,'Audit Setup'!$C$21&lt;=C65+4),"⚑ END OF PLANNING ",""),IF(AND('Audit Setup'!$C$22&gt;=C65,'Audit Setup'!$C$22&lt;=C65+4),"⚑ OUTLINE TO EXEC ",""),IF(AND('Audit Setup'!$C$23&gt;=C65,'Audit Setup'!$C$23&lt;=C65+4),"⚑ ON-TARGET ",""),IF(AND('Audit Setup'!$C$25&gt;=C65,'Audit Setup'!$C$25&lt;=C65+4),"⚑ DRAFT TO EXEC ",""),IF(AND('Audit Setup'!$C$26&gt;=C65,'Audit Setup'!$C$26&lt;=C65+4),"⚑ EXIT CONFERENCE ",""),IF(AND('Audit Setup'!$C$27&gt;=C65,'Audit Setup'!$C$27&lt;=C65+4),"⚑ MGMT RESPONSES DUE ",""),IF(AND('Audit Setup'!$C$32&gt;=C65,'Audit Setup'!$C$32&lt;=C65+4),"⚑ REPORT RELEASE ",""))))</f>
        <v/>
      </c>
    </row>
    <row r="66" hidden="1" ht="15" customHeight="1">
      <c r="A66" s="61">
        <f>IF(33&lt;='Audit Setup'!$B$13,"FW-"&amp;33,"")</f>
        <v/>
      </c>
      <c r="B66" s="35" t="inlineStr"/>
      <c r="C66" s="62">
        <f>C65+7</f>
        <v/>
      </c>
      <c r="D66" s="52" t="n">
        <v>0</v>
      </c>
      <c r="E66" s="63">
        <f>-COUNTIFS('Holidays &amp; Skeleton'!$B$5:$B$25,"&gt;="&amp;C66,'Holidays &amp; Skeleton'!$B$5:$B$25,"&lt;="&amp;(C66+4))*'Audit Setup'!$B$7</f>
        <v/>
      </c>
      <c r="F66" s="64">
        <f>-COUNTIFS('Holidays &amp; Skeleton'!$B$29:$B$36,"&gt;="&amp;C66,'Holidays &amp; Skeleton'!$B$29:$B$36,"&lt;="&amp;(C66+4))*'Audit Setup'!$B$7</f>
        <v/>
      </c>
      <c r="G66" s="55" t="n">
        <v>0</v>
      </c>
      <c r="H66" s="56">
        <f>CEILING(MAX(0,SUM(D66:G66)),1)</f>
        <v/>
      </c>
      <c r="I66" s="57" t="n"/>
      <c r="J66" s="57" t="n"/>
      <c r="K66" s="58" t="n">
        <v>0</v>
      </c>
      <c r="L66" s="65">
        <f>IF(NOT(ISNUMBER(C66)),"",TRIM(CONCATENATE(IF(AND('Audit Setup'!$C$20&gt;=C66,'Audit Setup'!$C$20&lt;=C66+4),"⚑ KICKOFF ",""),IF(AND('Audit Setup'!$C$21&gt;=C66,'Audit Setup'!$C$21&lt;=C66+4),"⚑ END OF PLANNING ",""),IF(AND('Audit Setup'!$C$22&gt;=C66,'Audit Setup'!$C$22&lt;=C66+4),"⚑ OUTLINE TO EXEC ",""),IF(AND('Audit Setup'!$C$23&gt;=C66,'Audit Setup'!$C$23&lt;=C66+4),"⚑ ON-TARGET ",""),IF(AND('Audit Setup'!$C$25&gt;=C66,'Audit Setup'!$C$25&lt;=C66+4),"⚑ DRAFT TO EXEC ",""),IF(AND('Audit Setup'!$C$26&gt;=C66,'Audit Setup'!$C$26&lt;=C66+4),"⚑ EXIT CONFERENCE ",""),IF(AND('Audit Setup'!$C$27&gt;=C66,'Audit Setup'!$C$27&lt;=C66+4),"⚑ MGMT RESPONSES DUE ",""),IF(AND('Audit Setup'!$C$32&gt;=C66,'Audit Setup'!$C$32&lt;=C66+4),"⚑ REPORT RELEASE ",""))))</f>
        <v/>
      </c>
    </row>
    <row r="67" hidden="1" ht="15" customHeight="1">
      <c r="A67" s="61">
        <f>IF(34&lt;='Audit Setup'!$B$13,"FW-"&amp;34,"")</f>
        <v/>
      </c>
      <c r="B67" s="35" t="inlineStr"/>
      <c r="C67" s="62">
        <f>C66+7</f>
        <v/>
      </c>
      <c r="D67" s="52" t="n">
        <v>0</v>
      </c>
      <c r="E67" s="63">
        <f>-COUNTIFS('Holidays &amp; Skeleton'!$B$5:$B$25,"&gt;="&amp;C67,'Holidays &amp; Skeleton'!$B$5:$B$25,"&lt;="&amp;(C67+4))*'Audit Setup'!$B$7</f>
        <v/>
      </c>
      <c r="F67" s="64">
        <f>-COUNTIFS('Holidays &amp; Skeleton'!$B$29:$B$36,"&gt;="&amp;C67,'Holidays &amp; Skeleton'!$B$29:$B$36,"&lt;="&amp;(C67+4))*'Audit Setup'!$B$7</f>
        <v/>
      </c>
      <c r="G67" s="55" t="n">
        <v>0</v>
      </c>
      <c r="H67" s="56">
        <f>CEILING(MAX(0,SUM(D67:G67)),1)</f>
        <v/>
      </c>
      <c r="I67" s="57" t="n"/>
      <c r="J67" s="57" t="n"/>
      <c r="K67" s="58" t="n">
        <v>0</v>
      </c>
      <c r="L67" s="65">
        <f>IF(NOT(ISNUMBER(C67)),"",TRIM(CONCATENATE(IF(AND('Audit Setup'!$C$20&gt;=C67,'Audit Setup'!$C$20&lt;=C67+4),"⚑ KICKOFF ",""),IF(AND('Audit Setup'!$C$21&gt;=C67,'Audit Setup'!$C$21&lt;=C67+4),"⚑ END OF PLANNING ",""),IF(AND('Audit Setup'!$C$22&gt;=C67,'Audit Setup'!$C$22&lt;=C67+4),"⚑ OUTLINE TO EXEC ",""),IF(AND('Audit Setup'!$C$23&gt;=C67,'Audit Setup'!$C$23&lt;=C67+4),"⚑ ON-TARGET ",""),IF(AND('Audit Setup'!$C$25&gt;=C67,'Audit Setup'!$C$25&lt;=C67+4),"⚑ DRAFT TO EXEC ",""),IF(AND('Audit Setup'!$C$26&gt;=C67,'Audit Setup'!$C$26&lt;=C67+4),"⚑ EXIT CONFERENCE ",""),IF(AND('Audit Setup'!$C$27&gt;=C67,'Audit Setup'!$C$27&lt;=C67+4),"⚑ MGMT RESPONSES DUE ",""),IF(AND('Audit Setup'!$C$32&gt;=C67,'Audit Setup'!$C$32&lt;=C67+4),"⚑ REPORT RELEASE ",""))))</f>
        <v/>
      </c>
    </row>
    <row r="68" hidden="1" ht="15" customHeight="1">
      <c r="A68" s="61">
        <f>IF(35&lt;='Audit Setup'!$B$13,"FW-"&amp;35,"")</f>
        <v/>
      </c>
      <c r="B68" s="35" t="inlineStr"/>
      <c r="C68" s="62">
        <f>C67+7</f>
        <v/>
      </c>
      <c r="D68" s="52" t="n">
        <v>0</v>
      </c>
      <c r="E68" s="63">
        <f>-COUNTIFS('Holidays &amp; Skeleton'!$B$5:$B$25,"&gt;="&amp;C68,'Holidays &amp; Skeleton'!$B$5:$B$25,"&lt;="&amp;(C68+4))*'Audit Setup'!$B$7</f>
        <v/>
      </c>
      <c r="F68" s="64">
        <f>-COUNTIFS('Holidays &amp; Skeleton'!$B$29:$B$36,"&gt;="&amp;C68,'Holidays &amp; Skeleton'!$B$29:$B$36,"&lt;="&amp;(C68+4))*'Audit Setup'!$B$7</f>
        <v/>
      </c>
      <c r="G68" s="55" t="n">
        <v>0</v>
      </c>
      <c r="H68" s="56">
        <f>CEILING(MAX(0,SUM(D68:G68)),1)</f>
        <v/>
      </c>
      <c r="I68" s="57" t="n"/>
      <c r="J68" s="57" t="n"/>
      <c r="K68" s="58" t="n">
        <v>0</v>
      </c>
      <c r="L68" s="65">
        <f>IF(NOT(ISNUMBER(C68)),"",TRIM(CONCATENATE(IF(AND('Audit Setup'!$C$20&gt;=C68,'Audit Setup'!$C$20&lt;=C68+4),"⚑ KICKOFF ",""),IF(AND('Audit Setup'!$C$21&gt;=C68,'Audit Setup'!$C$21&lt;=C68+4),"⚑ END OF PLANNING ",""),IF(AND('Audit Setup'!$C$22&gt;=C68,'Audit Setup'!$C$22&lt;=C68+4),"⚑ OUTLINE TO EXEC ",""),IF(AND('Audit Setup'!$C$23&gt;=C68,'Audit Setup'!$C$23&lt;=C68+4),"⚑ ON-TARGET ",""),IF(AND('Audit Setup'!$C$25&gt;=C68,'Audit Setup'!$C$25&lt;=C68+4),"⚑ DRAFT TO EXEC ",""),IF(AND('Audit Setup'!$C$26&gt;=C68,'Audit Setup'!$C$26&lt;=C68+4),"⚑ EXIT CONFERENCE ",""),IF(AND('Audit Setup'!$C$27&gt;=C68,'Audit Setup'!$C$27&lt;=C68+4),"⚑ MGMT RESPONSES DUE ",""),IF(AND('Audit Setup'!$C$32&gt;=C68,'Audit Setup'!$C$32&lt;=C68+4),"⚑ REPORT RELEASE ",""))))</f>
        <v/>
      </c>
    </row>
    <row r="69" hidden="1" ht="15" customHeight="1">
      <c r="A69" s="61">
        <f>IF(36&lt;='Audit Setup'!$B$13,"FW-"&amp;36,"")</f>
        <v/>
      </c>
      <c r="B69" s="35" t="inlineStr"/>
      <c r="C69" s="62">
        <f>C68+7</f>
        <v/>
      </c>
      <c r="D69" s="52" t="n">
        <v>0</v>
      </c>
      <c r="E69" s="63">
        <f>-COUNTIFS('Holidays &amp; Skeleton'!$B$5:$B$25,"&gt;="&amp;C69,'Holidays &amp; Skeleton'!$B$5:$B$25,"&lt;="&amp;(C69+4))*'Audit Setup'!$B$7</f>
        <v/>
      </c>
      <c r="F69" s="64">
        <f>-COUNTIFS('Holidays &amp; Skeleton'!$B$29:$B$36,"&gt;="&amp;C69,'Holidays &amp; Skeleton'!$B$29:$B$36,"&lt;="&amp;(C69+4))*'Audit Setup'!$B$7</f>
        <v/>
      </c>
      <c r="G69" s="55" t="n">
        <v>0</v>
      </c>
      <c r="H69" s="56">
        <f>CEILING(MAX(0,SUM(D69:G69)),1)</f>
        <v/>
      </c>
      <c r="I69" s="57" t="n"/>
      <c r="J69" s="57" t="n"/>
      <c r="K69" s="58" t="n">
        <v>0</v>
      </c>
      <c r="L69" s="65">
        <f>IF(NOT(ISNUMBER(C69)),"",TRIM(CONCATENATE(IF(AND('Audit Setup'!$C$20&gt;=C69,'Audit Setup'!$C$20&lt;=C69+4),"⚑ KICKOFF ",""),IF(AND('Audit Setup'!$C$21&gt;=C69,'Audit Setup'!$C$21&lt;=C69+4),"⚑ END OF PLANNING ",""),IF(AND('Audit Setup'!$C$22&gt;=C69,'Audit Setup'!$C$22&lt;=C69+4),"⚑ OUTLINE TO EXEC ",""),IF(AND('Audit Setup'!$C$23&gt;=C69,'Audit Setup'!$C$23&lt;=C69+4),"⚑ ON-TARGET ",""),IF(AND('Audit Setup'!$C$25&gt;=C69,'Audit Setup'!$C$25&lt;=C69+4),"⚑ DRAFT TO EXEC ",""),IF(AND('Audit Setup'!$C$26&gt;=C69,'Audit Setup'!$C$26&lt;=C69+4),"⚑ EXIT CONFERENCE ",""),IF(AND('Audit Setup'!$C$27&gt;=C69,'Audit Setup'!$C$27&lt;=C69+4),"⚑ MGMT RESPONSES DUE ",""),IF(AND('Audit Setup'!$C$32&gt;=C69,'Audit Setup'!$C$32&lt;=C69+4),"⚑ REPORT RELEASE ",""))))</f>
        <v/>
      </c>
    </row>
    <row r="70" hidden="1" ht="15" customHeight="1">
      <c r="A70" s="61">
        <f>IF(37&lt;='Audit Setup'!$B$13,"FW-"&amp;37,"")</f>
        <v/>
      </c>
      <c r="B70" s="35" t="inlineStr"/>
      <c r="C70" s="62">
        <f>C69+7</f>
        <v/>
      </c>
      <c r="D70" s="52" t="n">
        <v>0</v>
      </c>
      <c r="E70" s="63">
        <f>-COUNTIFS('Holidays &amp; Skeleton'!$B$5:$B$25,"&gt;="&amp;C70,'Holidays &amp; Skeleton'!$B$5:$B$25,"&lt;="&amp;(C70+4))*'Audit Setup'!$B$7</f>
        <v/>
      </c>
      <c r="F70" s="64">
        <f>-COUNTIFS('Holidays &amp; Skeleton'!$B$29:$B$36,"&gt;="&amp;C70,'Holidays &amp; Skeleton'!$B$29:$B$36,"&lt;="&amp;(C70+4))*'Audit Setup'!$B$7</f>
        <v/>
      </c>
      <c r="G70" s="55" t="n">
        <v>0</v>
      </c>
      <c r="H70" s="56">
        <f>CEILING(MAX(0,SUM(D70:G70)),1)</f>
        <v/>
      </c>
      <c r="I70" s="57" t="n"/>
      <c r="J70" s="57" t="n"/>
      <c r="K70" s="58" t="n">
        <v>0</v>
      </c>
      <c r="L70" s="65">
        <f>IF(NOT(ISNUMBER(C70)),"",TRIM(CONCATENATE(IF(AND('Audit Setup'!$C$20&gt;=C70,'Audit Setup'!$C$20&lt;=C70+4),"⚑ KICKOFF ",""),IF(AND('Audit Setup'!$C$21&gt;=C70,'Audit Setup'!$C$21&lt;=C70+4),"⚑ END OF PLANNING ",""),IF(AND('Audit Setup'!$C$22&gt;=C70,'Audit Setup'!$C$22&lt;=C70+4),"⚑ OUTLINE TO EXEC ",""),IF(AND('Audit Setup'!$C$23&gt;=C70,'Audit Setup'!$C$23&lt;=C70+4),"⚑ ON-TARGET ",""),IF(AND('Audit Setup'!$C$25&gt;=C70,'Audit Setup'!$C$25&lt;=C70+4),"⚑ DRAFT TO EXEC ",""),IF(AND('Audit Setup'!$C$26&gt;=C70,'Audit Setup'!$C$26&lt;=C70+4),"⚑ EXIT CONFERENCE ",""),IF(AND('Audit Setup'!$C$27&gt;=C70,'Audit Setup'!$C$27&lt;=C70+4),"⚑ MGMT RESPONSES DUE ",""),IF(AND('Audit Setup'!$C$32&gt;=C70,'Audit Setup'!$C$32&lt;=C70+4),"⚑ REPORT RELEASE ",""))))</f>
        <v/>
      </c>
    </row>
    <row r="71" hidden="1" ht="15" customHeight="1">
      <c r="A71" s="61">
        <f>IF(38&lt;='Audit Setup'!$B$13,"FW-"&amp;38,"")</f>
        <v/>
      </c>
      <c r="B71" s="35" t="inlineStr"/>
      <c r="C71" s="62">
        <f>C70+7</f>
        <v/>
      </c>
      <c r="D71" s="52" t="n">
        <v>0</v>
      </c>
      <c r="E71" s="63">
        <f>-COUNTIFS('Holidays &amp; Skeleton'!$B$5:$B$25,"&gt;="&amp;C71,'Holidays &amp; Skeleton'!$B$5:$B$25,"&lt;="&amp;(C71+4))*'Audit Setup'!$B$7</f>
        <v/>
      </c>
      <c r="F71" s="64">
        <f>-COUNTIFS('Holidays &amp; Skeleton'!$B$29:$B$36,"&gt;="&amp;C71,'Holidays &amp; Skeleton'!$B$29:$B$36,"&lt;="&amp;(C71+4))*'Audit Setup'!$B$7</f>
        <v/>
      </c>
      <c r="G71" s="55" t="n">
        <v>0</v>
      </c>
      <c r="H71" s="56">
        <f>CEILING(MAX(0,SUM(D71:G71)),1)</f>
        <v/>
      </c>
      <c r="I71" s="57" t="n"/>
      <c r="J71" s="57" t="n"/>
      <c r="K71" s="58" t="n">
        <v>0</v>
      </c>
      <c r="L71" s="65">
        <f>IF(NOT(ISNUMBER(C71)),"",TRIM(CONCATENATE(IF(AND('Audit Setup'!$C$20&gt;=C71,'Audit Setup'!$C$20&lt;=C71+4),"⚑ KICKOFF ",""),IF(AND('Audit Setup'!$C$21&gt;=C71,'Audit Setup'!$C$21&lt;=C71+4),"⚑ END OF PLANNING ",""),IF(AND('Audit Setup'!$C$22&gt;=C71,'Audit Setup'!$C$22&lt;=C71+4),"⚑ OUTLINE TO EXEC ",""),IF(AND('Audit Setup'!$C$23&gt;=C71,'Audit Setup'!$C$23&lt;=C71+4),"⚑ ON-TARGET ",""),IF(AND('Audit Setup'!$C$25&gt;=C71,'Audit Setup'!$C$25&lt;=C71+4),"⚑ DRAFT TO EXEC ",""),IF(AND('Audit Setup'!$C$26&gt;=C71,'Audit Setup'!$C$26&lt;=C71+4),"⚑ EXIT CONFERENCE ",""),IF(AND('Audit Setup'!$C$27&gt;=C71,'Audit Setup'!$C$27&lt;=C71+4),"⚑ MGMT RESPONSES DUE ",""),IF(AND('Audit Setup'!$C$32&gt;=C71,'Audit Setup'!$C$32&lt;=C71+4),"⚑ REPORT RELEASE ",""))))</f>
        <v/>
      </c>
    </row>
    <row r="72" hidden="1" ht="15" customHeight="1">
      <c r="A72" s="61">
        <f>IF(39&lt;='Audit Setup'!$B$13,"FW-"&amp;39,"")</f>
        <v/>
      </c>
      <c r="B72" s="35" t="inlineStr"/>
      <c r="C72" s="62">
        <f>C71+7</f>
        <v/>
      </c>
      <c r="D72" s="52" t="n">
        <v>0</v>
      </c>
      <c r="E72" s="63">
        <f>-COUNTIFS('Holidays &amp; Skeleton'!$B$5:$B$25,"&gt;="&amp;C72,'Holidays &amp; Skeleton'!$B$5:$B$25,"&lt;="&amp;(C72+4))*'Audit Setup'!$B$7</f>
        <v/>
      </c>
      <c r="F72" s="64">
        <f>-COUNTIFS('Holidays &amp; Skeleton'!$B$29:$B$36,"&gt;="&amp;C72,'Holidays &amp; Skeleton'!$B$29:$B$36,"&lt;="&amp;(C72+4))*'Audit Setup'!$B$7</f>
        <v/>
      </c>
      <c r="G72" s="55" t="n">
        <v>0</v>
      </c>
      <c r="H72" s="56">
        <f>CEILING(MAX(0,SUM(D72:G72)),1)</f>
        <v/>
      </c>
      <c r="I72" s="57" t="n"/>
      <c r="J72" s="57" t="n"/>
      <c r="K72" s="58" t="n">
        <v>0</v>
      </c>
      <c r="L72" s="65">
        <f>IF(NOT(ISNUMBER(C72)),"",TRIM(CONCATENATE(IF(AND('Audit Setup'!$C$20&gt;=C72,'Audit Setup'!$C$20&lt;=C72+4),"⚑ KICKOFF ",""),IF(AND('Audit Setup'!$C$21&gt;=C72,'Audit Setup'!$C$21&lt;=C72+4),"⚑ END OF PLANNING ",""),IF(AND('Audit Setup'!$C$22&gt;=C72,'Audit Setup'!$C$22&lt;=C72+4),"⚑ OUTLINE TO EXEC ",""),IF(AND('Audit Setup'!$C$23&gt;=C72,'Audit Setup'!$C$23&lt;=C72+4),"⚑ ON-TARGET ",""),IF(AND('Audit Setup'!$C$25&gt;=C72,'Audit Setup'!$C$25&lt;=C72+4),"⚑ DRAFT TO EXEC ",""),IF(AND('Audit Setup'!$C$26&gt;=C72,'Audit Setup'!$C$26&lt;=C72+4),"⚑ EXIT CONFERENCE ",""),IF(AND('Audit Setup'!$C$27&gt;=C72,'Audit Setup'!$C$27&lt;=C72+4),"⚑ MGMT RESPONSES DUE ",""),IF(AND('Audit Setup'!$C$32&gt;=C72,'Audit Setup'!$C$32&lt;=C72+4),"⚑ REPORT RELEASE ",""))))</f>
        <v/>
      </c>
    </row>
    <row r="73" hidden="1" ht="15" customHeight="1">
      <c r="A73" s="61">
        <f>IF(40&lt;='Audit Setup'!$B$13,"FW-"&amp;40,"")</f>
        <v/>
      </c>
      <c r="B73" s="35" t="inlineStr"/>
      <c r="C73" s="62">
        <f>C72+7</f>
        <v/>
      </c>
      <c r="D73" s="52" t="n">
        <v>0</v>
      </c>
      <c r="E73" s="63">
        <f>-COUNTIFS('Holidays &amp; Skeleton'!$B$5:$B$25,"&gt;="&amp;C73,'Holidays &amp; Skeleton'!$B$5:$B$25,"&lt;="&amp;(C73+4))*'Audit Setup'!$B$7</f>
        <v/>
      </c>
      <c r="F73" s="64">
        <f>-COUNTIFS('Holidays &amp; Skeleton'!$B$29:$B$36,"&gt;="&amp;C73,'Holidays &amp; Skeleton'!$B$29:$B$36,"&lt;="&amp;(C73+4))*'Audit Setup'!$B$7</f>
        <v/>
      </c>
      <c r="G73" s="55" t="n">
        <v>0</v>
      </c>
      <c r="H73" s="56">
        <f>CEILING(MAX(0,SUM(D73:G73)),1)</f>
        <v/>
      </c>
      <c r="I73" s="57" t="n"/>
      <c r="J73" s="57" t="n"/>
      <c r="K73" s="58" t="n">
        <v>0</v>
      </c>
      <c r="L73" s="65">
        <f>IF(NOT(ISNUMBER(C73)),"",TRIM(CONCATENATE(IF(AND('Audit Setup'!$C$20&gt;=C73,'Audit Setup'!$C$20&lt;=C73+4),"⚑ KICKOFF ",""),IF(AND('Audit Setup'!$C$21&gt;=C73,'Audit Setup'!$C$21&lt;=C73+4),"⚑ END OF PLANNING ",""),IF(AND('Audit Setup'!$C$22&gt;=C73,'Audit Setup'!$C$22&lt;=C73+4),"⚑ OUTLINE TO EXEC ",""),IF(AND('Audit Setup'!$C$23&gt;=C73,'Audit Setup'!$C$23&lt;=C73+4),"⚑ ON-TARGET ",""),IF(AND('Audit Setup'!$C$25&gt;=C73,'Audit Setup'!$C$25&lt;=C73+4),"⚑ DRAFT TO EXEC ",""),IF(AND('Audit Setup'!$C$26&gt;=C73,'Audit Setup'!$C$26&lt;=C73+4),"⚑ EXIT CONFERENCE ",""),IF(AND('Audit Setup'!$C$27&gt;=C73,'Audit Setup'!$C$27&lt;=C73+4),"⚑ MGMT RESPONSES DUE ",""),IF(AND('Audit Setup'!$C$32&gt;=C73,'Audit Setup'!$C$32&lt;=C73+4),"⚑ REPORT RELEASE ",""))))</f>
        <v/>
      </c>
    </row>
    <row r="74" ht="22" customHeight="1">
      <c r="A74" s="66">
        <f>" REPORTING - Weeks "&amp;('Audit Setup'!$B$12+'Audit Setup'!$B$13+1)&amp;"-"&amp;'Audit Setup'!$B$16</f>
        <v/>
      </c>
    </row>
    <row r="75" ht="15" customHeight="1">
      <c r="A75" s="67">
        <f>IF(1&lt;='Audit Setup'!$B$14,"RP-"&amp;1,"")</f>
        <v/>
      </c>
      <c r="B75" s="35" t="inlineStr"/>
      <c r="C75" s="68">
        <f>'Audit Setup'!$C$14</f>
        <v/>
      </c>
      <c r="D75" s="52" t="n">
        <v>0</v>
      </c>
      <c r="E75" s="69">
        <f>-COUNTIFS('Holidays &amp; Skeleton'!$B$5:$B$25,"&gt;="&amp;C75,'Holidays &amp; Skeleton'!$B$5:$B$25,"&lt;="&amp;(C75+4))*'Audit Setup'!$B$7</f>
        <v/>
      </c>
      <c r="F75" s="70">
        <f>-COUNTIFS('Holidays &amp; Skeleton'!$B$29:$B$36,"&gt;="&amp;C75,'Holidays &amp; Skeleton'!$B$29:$B$36,"&lt;="&amp;(C75+4))*'Audit Setup'!$B$7</f>
        <v/>
      </c>
      <c r="G75" s="55" t="n">
        <v>0</v>
      </c>
      <c r="H75" s="56">
        <f>CEILING(MAX(0,SUM(D75:G75)),1)</f>
        <v/>
      </c>
      <c r="I75" s="57" t="n"/>
      <c r="J75" s="57" t="n"/>
      <c r="K75" s="58" t="n">
        <v>0</v>
      </c>
      <c r="L75" s="71">
        <f>IF(NOT(ISNUMBER(C75)),"",TRIM(CONCATENATE(IF(AND('Audit Setup'!$C$20&gt;=C75,'Audit Setup'!$C$20&lt;=C75+4),"⚑ KICKOFF ",""),IF(AND('Audit Setup'!$C$21&gt;=C75,'Audit Setup'!$C$21&lt;=C75+4),"⚑ END OF PLANNING ",""),IF(AND('Audit Setup'!$C$22&gt;=C75,'Audit Setup'!$C$22&lt;=C75+4),"⚑ OUTLINE TO EXEC ",""),IF(AND('Audit Setup'!$C$23&gt;=C75,'Audit Setup'!$C$23&lt;=C75+4),"⚑ ON-TARGET ",""),IF(AND('Audit Setup'!$C$25&gt;=C75,'Audit Setup'!$C$25&lt;=C75+4),"⚑ DRAFT TO EXEC ",""),IF(AND('Audit Setup'!$C$26&gt;=C75,'Audit Setup'!$C$26&lt;=C75+4),"⚑ EXIT CONFERENCE ",""),IF(AND('Audit Setup'!$C$27&gt;=C75,'Audit Setup'!$C$27&lt;=C75+4),"⚑ MGMT RESPONSES DUE ",""),IF(AND('Audit Setup'!$C$32&gt;=C75,'Audit Setup'!$C$32&lt;=C75+4),"⚑ REPORT RELEASE ",""))))</f>
        <v/>
      </c>
    </row>
    <row r="76" ht="15" customHeight="1">
      <c r="A76" s="67">
        <f>IF(2&lt;='Audit Setup'!$B$14,"RP-"&amp;2,"")</f>
        <v/>
      </c>
      <c r="B76" s="35" t="inlineStr"/>
      <c r="C76" s="68">
        <f>C75+7</f>
        <v/>
      </c>
      <c r="D76" s="52" t="n">
        <v>0</v>
      </c>
      <c r="E76" s="69">
        <f>-COUNTIFS('Holidays &amp; Skeleton'!$B$5:$B$25,"&gt;="&amp;C76,'Holidays &amp; Skeleton'!$B$5:$B$25,"&lt;="&amp;(C76+4))*'Audit Setup'!$B$7</f>
        <v/>
      </c>
      <c r="F76" s="70">
        <f>-COUNTIFS('Holidays &amp; Skeleton'!$B$29:$B$36,"&gt;="&amp;C76,'Holidays &amp; Skeleton'!$B$29:$B$36,"&lt;="&amp;(C76+4))*'Audit Setup'!$B$7</f>
        <v/>
      </c>
      <c r="G76" s="55" t="n">
        <v>0</v>
      </c>
      <c r="H76" s="56">
        <f>CEILING(MAX(0,SUM(D76:G76)),1)</f>
        <v/>
      </c>
      <c r="I76" s="57" t="n"/>
      <c r="J76" s="57" t="n"/>
      <c r="K76" s="58" t="n">
        <v>0</v>
      </c>
      <c r="L76" s="71">
        <f>IF(NOT(ISNUMBER(C76)),"",TRIM(CONCATENATE(IF(AND('Audit Setup'!$C$20&gt;=C76,'Audit Setup'!$C$20&lt;=C76+4),"⚑ KICKOFF ",""),IF(AND('Audit Setup'!$C$21&gt;=C76,'Audit Setup'!$C$21&lt;=C76+4),"⚑ END OF PLANNING ",""),IF(AND('Audit Setup'!$C$22&gt;=C76,'Audit Setup'!$C$22&lt;=C76+4),"⚑ OUTLINE TO EXEC ",""),IF(AND('Audit Setup'!$C$23&gt;=C76,'Audit Setup'!$C$23&lt;=C76+4),"⚑ ON-TARGET ",""),IF(AND('Audit Setup'!$C$25&gt;=C76,'Audit Setup'!$C$25&lt;=C76+4),"⚑ DRAFT TO EXEC ",""),IF(AND('Audit Setup'!$C$26&gt;=C76,'Audit Setup'!$C$26&lt;=C76+4),"⚑ EXIT CONFERENCE ",""),IF(AND('Audit Setup'!$C$27&gt;=C76,'Audit Setup'!$C$27&lt;=C76+4),"⚑ MGMT RESPONSES DUE ",""),IF(AND('Audit Setup'!$C$32&gt;=C76,'Audit Setup'!$C$32&lt;=C76+4),"⚑ REPORT RELEASE ",""))))</f>
        <v/>
      </c>
    </row>
    <row r="77" ht="15" customHeight="1">
      <c r="A77" s="67">
        <f>IF(3&lt;='Audit Setup'!$B$14,"RP-"&amp;3,"")</f>
        <v/>
      </c>
      <c r="B77" s="35" t="inlineStr"/>
      <c r="C77" s="68">
        <f>C76+7</f>
        <v/>
      </c>
      <c r="D77" s="52" t="n">
        <v>0</v>
      </c>
      <c r="E77" s="69">
        <f>-COUNTIFS('Holidays &amp; Skeleton'!$B$5:$B$25,"&gt;="&amp;C77,'Holidays &amp; Skeleton'!$B$5:$B$25,"&lt;="&amp;(C77+4))*'Audit Setup'!$B$7</f>
        <v/>
      </c>
      <c r="F77" s="70">
        <f>-COUNTIFS('Holidays &amp; Skeleton'!$B$29:$B$36,"&gt;="&amp;C77,'Holidays &amp; Skeleton'!$B$29:$B$36,"&lt;="&amp;(C77+4))*'Audit Setup'!$B$7</f>
        <v/>
      </c>
      <c r="G77" s="55" t="n">
        <v>0</v>
      </c>
      <c r="H77" s="56">
        <f>CEILING(MAX(0,SUM(D77:G77)),1)</f>
        <v/>
      </c>
      <c r="I77" s="57" t="n"/>
      <c r="J77" s="57" t="n"/>
      <c r="K77" s="58" t="n">
        <v>0</v>
      </c>
      <c r="L77" s="71">
        <f>IF(NOT(ISNUMBER(C77)),"",TRIM(CONCATENATE(IF(AND('Audit Setup'!$C$20&gt;=C77,'Audit Setup'!$C$20&lt;=C77+4),"⚑ KICKOFF ",""),IF(AND('Audit Setup'!$C$21&gt;=C77,'Audit Setup'!$C$21&lt;=C77+4),"⚑ END OF PLANNING ",""),IF(AND('Audit Setup'!$C$22&gt;=C77,'Audit Setup'!$C$22&lt;=C77+4),"⚑ OUTLINE TO EXEC ",""),IF(AND('Audit Setup'!$C$23&gt;=C77,'Audit Setup'!$C$23&lt;=C77+4),"⚑ ON-TARGET ",""),IF(AND('Audit Setup'!$C$25&gt;=C77,'Audit Setup'!$C$25&lt;=C77+4),"⚑ DRAFT TO EXEC ",""),IF(AND('Audit Setup'!$C$26&gt;=C77,'Audit Setup'!$C$26&lt;=C77+4),"⚑ EXIT CONFERENCE ",""),IF(AND('Audit Setup'!$C$27&gt;=C77,'Audit Setup'!$C$27&lt;=C77+4),"⚑ MGMT RESPONSES DUE ",""),IF(AND('Audit Setup'!$C$32&gt;=C77,'Audit Setup'!$C$32&lt;=C77+4),"⚑ REPORT RELEASE ",""))))</f>
        <v/>
      </c>
    </row>
    <row r="78" ht="15" customHeight="1">
      <c r="A78" s="67">
        <f>IF(4&lt;='Audit Setup'!$B$14,"RP-"&amp;4,"")</f>
        <v/>
      </c>
      <c r="B78" s="35" t="inlineStr"/>
      <c r="C78" s="68">
        <f>C77+7</f>
        <v/>
      </c>
      <c r="D78" s="52" t="n">
        <v>0</v>
      </c>
      <c r="E78" s="69">
        <f>-COUNTIFS('Holidays &amp; Skeleton'!$B$5:$B$25,"&gt;="&amp;C78,'Holidays &amp; Skeleton'!$B$5:$B$25,"&lt;="&amp;(C78+4))*'Audit Setup'!$B$7</f>
        <v/>
      </c>
      <c r="F78" s="70">
        <f>-COUNTIFS('Holidays &amp; Skeleton'!$B$29:$B$36,"&gt;="&amp;C78,'Holidays &amp; Skeleton'!$B$29:$B$36,"&lt;="&amp;(C78+4))*'Audit Setup'!$B$7</f>
        <v/>
      </c>
      <c r="G78" s="55" t="n">
        <v>0</v>
      </c>
      <c r="H78" s="56">
        <f>CEILING(MAX(0,SUM(D78:G78)),1)</f>
        <v/>
      </c>
      <c r="I78" s="57" t="n"/>
      <c r="J78" s="57" t="n"/>
      <c r="K78" s="58" t="n">
        <v>0</v>
      </c>
      <c r="L78" s="71">
        <f>IF(NOT(ISNUMBER(C78)),"",TRIM(CONCATENATE(IF(AND('Audit Setup'!$C$20&gt;=C78,'Audit Setup'!$C$20&lt;=C78+4),"⚑ KICKOFF ",""),IF(AND('Audit Setup'!$C$21&gt;=C78,'Audit Setup'!$C$21&lt;=C78+4),"⚑ END OF PLANNING ",""),IF(AND('Audit Setup'!$C$22&gt;=C78,'Audit Setup'!$C$22&lt;=C78+4),"⚑ OUTLINE TO EXEC ",""),IF(AND('Audit Setup'!$C$23&gt;=C78,'Audit Setup'!$C$23&lt;=C78+4),"⚑ ON-TARGET ",""),IF(AND('Audit Setup'!$C$25&gt;=C78,'Audit Setup'!$C$25&lt;=C78+4),"⚑ DRAFT TO EXEC ",""),IF(AND('Audit Setup'!$C$26&gt;=C78,'Audit Setup'!$C$26&lt;=C78+4),"⚑ EXIT CONFERENCE ",""),IF(AND('Audit Setup'!$C$27&gt;=C78,'Audit Setup'!$C$27&lt;=C78+4),"⚑ MGMT RESPONSES DUE ",""),IF(AND('Audit Setup'!$C$32&gt;=C78,'Audit Setup'!$C$32&lt;=C78+4),"⚑ REPORT RELEASE ",""))))</f>
        <v/>
      </c>
    </row>
    <row r="79" hidden="1" ht="15" customHeight="1">
      <c r="A79" s="67">
        <f>IF(5&lt;='Audit Setup'!$B$14,"RP-"&amp;5,"")</f>
        <v/>
      </c>
      <c r="B79" s="35" t="inlineStr"/>
      <c r="C79" s="68">
        <f>C78+7</f>
        <v/>
      </c>
      <c r="D79" s="52" t="n">
        <v>0</v>
      </c>
      <c r="E79" s="69">
        <f>-COUNTIFS('Holidays &amp; Skeleton'!$B$5:$B$25,"&gt;="&amp;C79,'Holidays &amp; Skeleton'!$B$5:$B$25,"&lt;="&amp;(C79+4))*'Audit Setup'!$B$7</f>
        <v/>
      </c>
      <c r="F79" s="70">
        <f>-COUNTIFS('Holidays &amp; Skeleton'!$B$29:$B$36,"&gt;="&amp;C79,'Holidays &amp; Skeleton'!$B$29:$B$36,"&lt;="&amp;(C79+4))*'Audit Setup'!$B$7</f>
        <v/>
      </c>
      <c r="G79" s="55" t="n">
        <v>0</v>
      </c>
      <c r="H79" s="56">
        <f>CEILING(MAX(0,SUM(D79:G79)),1)</f>
        <v/>
      </c>
      <c r="I79" s="57" t="n"/>
      <c r="J79" s="57" t="n"/>
      <c r="K79" s="58" t="n">
        <v>0</v>
      </c>
      <c r="L79" s="71">
        <f>IF(NOT(ISNUMBER(C79)),"",TRIM(CONCATENATE(IF(AND('Audit Setup'!$C$20&gt;=C79,'Audit Setup'!$C$20&lt;=C79+4),"⚑ KICKOFF ",""),IF(AND('Audit Setup'!$C$21&gt;=C79,'Audit Setup'!$C$21&lt;=C79+4),"⚑ END OF PLANNING ",""),IF(AND('Audit Setup'!$C$22&gt;=C79,'Audit Setup'!$C$22&lt;=C79+4),"⚑ OUTLINE TO EXEC ",""),IF(AND('Audit Setup'!$C$23&gt;=C79,'Audit Setup'!$C$23&lt;=C79+4),"⚑ ON-TARGET ",""),IF(AND('Audit Setup'!$C$25&gt;=C79,'Audit Setup'!$C$25&lt;=C79+4),"⚑ DRAFT TO EXEC ",""),IF(AND('Audit Setup'!$C$26&gt;=C79,'Audit Setup'!$C$26&lt;=C79+4),"⚑ EXIT CONFERENCE ",""),IF(AND('Audit Setup'!$C$27&gt;=C79,'Audit Setup'!$C$27&lt;=C79+4),"⚑ MGMT RESPONSES DUE ",""),IF(AND('Audit Setup'!$C$32&gt;=C79,'Audit Setup'!$C$32&lt;=C79+4),"⚑ REPORT RELEASE ",""))))</f>
        <v/>
      </c>
    </row>
    <row r="80" hidden="1" ht="15" customHeight="1">
      <c r="A80" s="67">
        <f>IF(6&lt;='Audit Setup'!$B$14,"RP-"&amp;6,"")</f>
        <v/>
      </c>
      <c r="B80" s="35" t="inlineStr"/>
      <c r="C80" s="68">
        <f>C79+7</f>
        <v/>
      </c>
      <c r="D80" s="52" t="n">
        <v>0</v>
      </c>
      <c r="E80" s="69">
        <f>-COUNTIFS('Holidays &amp; Skeleton'!$B$5:$B$25,"&gt;="&amp;C80,'Holidays &amp; Skeleton'!$B$5:$B$25,"&lt;="&amp;(C80+4))*'Audit Setup'!$B$7</f>
        <v/>
      </c>
      <c r="F80" s="70">
        <f>-COUNTIFS('Holidays &amp; Skeleton'!$B$29:$B$36,"&gt;="&amp;C80,'Holidays &amp; Skeleton'!$B$29:$B$36,"&lt;="&amp;(C80+4))*'Audit Setup'!$B$7</f>
        <v/>
      </c>
      <c r="G80" s="55" t="n">
        <v>0</v>
      </c>
      <c r="H80" s="56">
        <f>CEILING(MAX(0,SUM(D80:G80)),1)</f>
        <v/>
      </c>
      <c r="I80" s="57" t="n"/>
      <c r="J80" s="57" t="n"/>
      <c r="K80" s="58" t="n">
        <v>0</v>
      </c>
      <c r="L80" s="71">
        <f>IF(NOT(ISNUMBER(C80)),"",TRIM(CONCATENATE(IF(AND('Audit Setup'!$C$20&gt;=C80,'Audit Setup'!$C$20&lt;=C80+4),"⚑ KICKOFF ",""),IF(AND('Audit Setup'!$C$21&gt;=C80,'Audit Setup'!$C$21&lt;=C80+4),"⚑ END OF PLANNING ",""),IF(AND('Audit Setup'!$C$22&gt;=C80,'Audit Setup'!$C$22&lt;=C80+4),"⚑ OUTLINE TO EXEC ",""),IF(AND('Audit Setup'!$C$23&gt;=C80,'Audit Setup'!$C$23&lt;=C80+4),"⚑ ON-TARGET ",""),IF(AND('Audit Setup'!$C$25&gt;=C80,'Audit Setup'!$C$25&lt;=C80+4),"⚑ DRAFT TO EXEC ",""),IF(AND('Audit Setup'!$C$26&gt;=C80,'Audit Setup'!$C$26&lt;=C80+4),"⚑ EXIT CONFERENCE ",""),IF(AND('Audit Setup'!$C$27&gt;=C80,'Audit Setup'!$C$27&lt;=C80+4),"⚑ MGMT RESPONSES DUE ",""),IF(AND('Audit Setup'!$C$32&gt;=C80,'Audit Setup'!$C$32&lt;=C80+4),"⚑ REPORT RELEASE ",""))))</f>
        <v/>
      </c>
    </row>
    <row r="81" hidden="1" ht="15" customHeight="1">
      <c r="A81" s="67">
        <f>IF(7&lt;='Audit Setup'!$B$14,"RP-"&amp;7,"")</f>
        <v/>
      </c>
      <c r="B81" s="35" t="inlineStr"/>
      <c r="C81" s="68">
        <f>C80+7</f>
        <v/>
      </c>
      <c r="D81" s="52" t="n">
        <v>0</v>
      </c>
      <c r="E81" s="69">
        <f>-COUNTIFS('Holidays &amp; Skeleton'!$B$5:$B$25,"&gt;="&amp;C81,'Holidays &amp; Skeleton'!$B$5:$B$25,"&lt;="&amp;(C81+4))*'Audit Setup'!$B$7</f>
        <v/>
      </c>
      <c r="F81" s="70">
        <f>-COUNTIFS('Holidays &amp; Skeleton'!$B$29:$B$36,"&gt;="&amp;C81,'Holidays &amp; Skeleton'!$B$29:$B$36,"&lt;="&amp;(C81+4))*'Audit Setup'!$B$7</f>
        <v/>
      </c>
      <c r="G81" s="55" t="n">
        <v>0</v>
      </c>
      <c r="H81" s="56">
        <f>CEILING(MAX(0,SUM(D81:G81)),1)</f>
        <v/>
      </c>
      <c r="I81" s="57" t="n"/>
      <c r="J81" s="57" t="n"/>
      <c r="K81" s="58" t="n">
        <v>0</v>
      </c>
      <c r="L81" s="71">
        <f>IF(NOT(ISNUMBER(C81)),"",TRIM(CONCATENATE(IF(AND('Audit Setup'!$C$20&gt;=C81,'Audit Setup'!$C$20&lt;=C81+4),"⚑ KICKOFF ",""),IF(AND('Audit Setup'!$C$21&gt;=C81,'Audit Setup'!$C$21&lt;=C81+4),"⚑ END OF PLANNING ",""),IF(AND('Audit Setup'!$C$22&gt;=C81,'Audit Setup'!$C$22&lt;=C81+4),"⚑ OUTLINE TO EXEC ",""),IF(AND('Audit Setup'!$C$23&gt;=C81,'Audit Setup'!$C$23&lt;=C81+4),"⚑ ON-TARGET ",""),IF(AND('Audit Setup'!$C$25&gt;=C81,'Audit Setup'!$C$25&lt;=C81+4),"⚑ DRAFT TO EXEC ",""),IF(AND('Audit Setup'!$C$26&gt;=C81,'Audit Setup'!$C$26&lt;=C81+4),"⚑ EXIT CONFERENCE ",""),IF(AND('Audit Setup'!$C$27&gt;=C81,'Audit Setup'!$C$27&lt;=C81+4),"⚑ MGMT RESPONSES DUE ",""),IF(AND('Audit Setup'!$C$32&gt;=C81,'Audit Setup'!$C$32&lt;=C81+4),"⚑ REPORT RELEASE ",""))))</f>
        <v/>
      </c>
    </row>
    <row r="82" hidden="1" ht="15" customHeight="1">
      <c r="A82" s="67">
        <f>IF(8&lt;='Audit Setup'!$B$14,"RP-"&amp;8,"")</f>
        <v/>
      </c>
      <c r="B82" s="35" t="inlineStr"/>
      <c r="C82" s="68">
        <f>C81+7</f>
        <v/>
      </c>
      <c r="D82" s="52" t="n">
        <v>0</v>
      </c>
      <c r="E82" s="69">
        <f>-COUNTIFS('Holidays &amp; Skeleton'!$B$5:$B$25,"&gt;="&amp;C82,'Holidays &amp; Skeleton'!$B$5:$B$25,"&lt;="&amp;(C82+4))*'Audit Setup'!$B$7</f>
        <v/>
      </c>
      <c r="F82" s="70">
        <f>-COUNTIFS('Holidays &amp; Skeleton'!$B$29:$B$36,"&gt;="&amp;C82,'Holidays &amp; Skeleton'!$B$29:$B$36,"&lt;="&amp;(C82+4))*'Audit Setup'!$B$7</f>
        <v/>
      </c>
      <c r="G82" s="55" t="n">
        <v>0</v>
      </c>
      <c r="H82" s="56">
        <f>CEILING(MAX(0,SUM(D82:G82)),1)</f>
        <v/>
      </c>
      <c r="I82" s="57" t="n"/>
      <c r="J82" s="57" t="n"/>
      <c r="K82" s="58" t="n">
        <v>0</v>
      </c>
      <c r="L82" s="71">
        <f>IF(NOT(ISNUMBER(C82)),"",TRIM(CONCATENATE(IF(AND('Audit Setup'!$C$20&gt;=C82,'Audit Setup'!$C$20&lt;=C82+4),"⚑ KICKOFF ",""),IF(AND('Audit Setup'!$C$21&gt;=C82,'Audit Setup'!$C$21&lt;=C82+4),"⚑ END OF PLANNING ",""),IF(AND('Audit Setup'!$C$22&gt;=C82,'Audit Setup'!$C$22&lt;=C82+4),"⚑ OUTLINE TO EXEC ",""),IF(AND('Audit Setup'!$C$23&gt;=C82,'Audit Setup'!$C$23&lt;=C82+4),"⚑ ON-TARGET ",""),IF(AND('Audit Setup'!$C$25&gt;=C82,'Audit Setup'!$C$25&lt;=C82+4),"⚑ DRAFT TO EXEC ",""),IF(AND('Audit Setup'!$C$26&gt;=C82,'Audit Setup'!$C$26&lt;=C82+4),"⚑ EXIT CONFERENCE ",""),IF(AND('Audit Setup'!$C$27&gt;=C82,'Audit Setup'!$C$27&lt;=C82+4),"⚑ MGMT RESPONSES DUE ",""),IF(AND('Audit Setup'!$C$32&gt;=C82,'Audit Setup'!$C$32&lt;=C82+4),"⚑ REPORT RELEASE ",""))))</f>
        <v/>
      </c>
    </row>
    <row r="83" hidden="1" ht="15" customHeight="1">
      <c r="A83" s="67">
        <f>IF(9&lt;='Audit Setup'!$B$14,"RP-"&amp;9,"")</f>
        <v/>
      </c>
      <c r="B83" s="35" t="inlineStr"/>
      <c r="C83" s="68">
        <f>C82+7</f>
        <v/>
      </c>
      <c r="D83" s="52" t="n">
        <v>0</v>
      </c>
      <c r="E83" s="69">
        <f>-COUNTIFS('Holidays &amp; Skeleton'!$B$5:$B$25,"&gt;="&amp;C83,'Holidays &amp; Skeleton'!$B$5:$B$25,"&lt;="&amp;(C83+4))*'Audit Setup'!$B$7</f>
        <v/>
      </c>
      <c r="F83" s="70">
        <f>-COUNTIFS('Holidays &amp; Skeleton'!$B$29:$B$36,"&gt;="&amp;C83,'Holidays &amp; Skeleton'!$B$29:$B$36,"&lt;="&amp;(C83+4))*'Audit Setup'!$B$7</f>
        <v/>
      </c>
      <c r="G83" s="55" t="n">
        <v>0</v>
      </c>
      <c r="H83" s="56">
        <f>CEILING(MAX(0,SUM(D83:G83)),1)</f>
        <v/>
      </c>
      <c r="I83" s="57" t="n"/>
      <c r="J83" s="57" t="n"/>
      <c r="K83" s="58" t="n">
        <v>0</v>
      </c>
      <c r="L83" s="71">
        <f>IF(NOT(ISNUMBER(C83)),"",TRIM(CONCATENATE(IF(AND('Audit Setup'!$C$20&gt;=C83,'Audit Setup'!$C$20&lt;=C83+4),"⚑ KICKOFF ",""),IF(AND('Audit Setup'!$C$21&gt;=C83,'Audit Setup'!$C$21&lt;=C83+4),"⚑ END OF PLANNING ",""),IF(AND('Audit Setup'!$C$22&gt;=C83,'Audit Setup'!$C$22&lt;=C83+4),"⚑ OUTLINE TO EXEC ",""),IF(AND('Audit Setup'!$C$23&gt;=C83,'Audit Setup'!$C$23&lt;=C83+4),"⚑ ON-TARGET ",""),IF(AND('Audit Setup'!$C$25&gt;=C83,'Audit Setup'!$C$25&lt;=C83+4),"⚑ DRAFT TO EXEC ",""),IF(AND('Audit Setup'!$C$26&gt;=C83,'Audit Setup'!$C$26&lt;=C83+4),"⚑ EXIT CONFERENCE ",""),IF(AND('Audit Setup'!$C$27&gt;=C83,'Audit Setup'!$C$27&lt;=C83+4),"⚑ MGMT RESPONSES DUE ",""),IF(AND('Audit Setup'!$C$32&gt;=C83,'Audit Setup'!$C$32&lt;=C83+4),"⚑ REPORT RELEASE ",""))))</f>
        <v/>
      </c>
    </row>
    <row r="84" hidden="1" ht="15" customHeight="1">
      <c r="A84" s="67">
        <f>IF(10&lt;='Audit Setup'!$B$14,"RP-"&amp;10,"")</f>
        <v/>
      </c>
      <c r="B84" s="35" t="inlineStr"/>
      <c r="C84" s="68">
        <f>C83+7</f>
        <v/>
      </c>
      <c r="D84" s="52" t="n">
        <v>0</v>
      </c>
      <c r="E84" s="69">
        <f>-COUNTIFS('Holidays &amp; Skeleton'!$B$5:$B$25,"&gt;="&amp;C84,'Holidays &amp; Skeleton'!$B$5:$B$25,"&lt;="&amp;(C84+4))*'Audit Setup'!$B$7</f>
        <v/>
      </c>
      <c r="F84" s="70">
        <f>-COUNTIFS('Holidays &amp; Skeleton'!$B$29:$B$36,"&gt;="&amp;C84,'Holidays &amp; Skeleton'!$B$29:$B$36,"&lt;="&amp;(C84+4))*'Audit Setup'!$B$7</f>
        <v/>
      </c>
      <c r="G84" s="55" t="n">
        <v>0</v>
      </c>
      <c r="H84" s="56">
        <f>CEILING(MAX(0,SUM(D84:G84)),1)</f>
        <v/>
      </c>
      <c r="I84" s="57" t="n"/>
      <c r="J84" s="57" t="n"/>
      <c r="K84" s="58" t="n">
        <v>0</v>
      </c>
      <c r="L84" s="71">
        <f>IF(NOT(ISNUMBER(C84)),"",TRIM(CONCATENATE(IF(AND('Audit Setup'!$C$20&gt;=C84,'Audit Setup'!$C$20&lt;=C84+4),"⚑ KICKOFF ",""),IF(AND('Audit Setup'!$C$21&gt;=C84,'Audit Setup'!$C$21&lt;=C84+4),"⚑ END OF PLANNING ",""),IF(AND('Audit Setup'!$C$22&gt;=C84,'Audit Setup'!$C$22&lt;=C84+4),"⚑ OUTLINE TO EXEC ",""),IF(AND('Audit Setup'!$C$23&gt;=C84,'Audit Setup'!$C$23&lt;=C84+4),"⚑ ON-TARGET ",""),IF(AND('Audit Setup'!$C$25&gt;=C84,'Audit Setup'!$C$25&lt;=C84+4),"⚑ DRAFT TO EXEC ",""),IF(AND('Audit Setup'!$C$26&gt;=C84,'Audit Setup'!$C$26&lt;=C84+4),"⚑ EXIT CONFERENCE ",""),IF(AND('Audit Setup'!$C$27&gt;=C84,'Audit Setup'!$C$27&lt;=C84+4),"⚑ MGMT RESPONSES DUE ",""),IF(AND('Audit Setup'!$C$32&gt;=C84,'Audit Setup'!$C$32&lt;=C84+4),"⚑ REPORT RELEASE ",""))))</f>
        <v/>
      </c>
    </row>
    <row r="85" hidden="1" ht="15" customHeight="1">
      <c r="A85" s="67">
        <f>IF(11&lt;='Audit Setup'!$B$14,"RP-"&amp;11,"")</f>
        <v/>
      </c>
      <c r="B85" s="35" t="inlineStr"/>
      <c r="C85" s="68">
        <f>C84+7</f>
        <v/>
      </c>
      <c r="D85" s="52" t="n">
        <v>0</v>
      </c>
      <c r="E85" s="69">
        <f>-COUNTIFS('Holidays &amp; Skeleton'!$B$5:$B$25,"&gt;="&amp;C85,'Holidays &amp; Skeleton'!$B$5:$B$25,"&lt;="&amp;(C85+4))*'Audit Setup'!$B$7</f>
        <v/>
      </c>
      <c r="F85" s="70">
        <f>-COUNTIFS('Holidays &amp; Skeleton'!$B$29:$B$36,"&gt;="&amp;C85,'Holidays &amp; Skeleton'!$B$29:$B$36,"&lt;="&amp;(C85+4))*'Audit Setup'!$B$7</f>
        <v/>
      </c>
      <c r="G85" s="55" t="n">
        <v>0</v>
      </c>
      <c r="H85" s="56">
        <f>CEILING(MAX(0,SUM(D85:G85)),1)</f>
        <v/>
      </c>
      <c r="I85" s="57" t="n"/>
      <c r="J85" s="57" t="n"/>
      <c r="K85" s="58" t="n">
        <v>0</v>
      </c>
      <c r="L85" s="71">
        <f>IF(NOT(ISNUMBER(C85)),"",TRIM(CONCATENATE(IF(AND('Audit Setup'!$C$20&gt;=C85,'Audit Setup'!$C$20&lt;=C85+4),"⚑ KICKOFF ",""),IF(AND('Audit Setup'!$C$21&gt;=C85,'Audit Setup'!$C$21&lt;=C85+4),"⚑ END OF PLANNING ",""),IF(AND('Audit Setup'!$C$22&gt;=C85,'Audit Setup'!$C$22&lt;=C85+4),"⚑ OUTLINE TO EXEC ",""),IF(AND('Audit Setup'!$C$23&gt;=C85,'Audit Setup'!$C$23&lt;=C85+4),"⚑ ON-TARGET ",""),IF(AND('Audit Setup'!$C$25&gt;=C85,'Audit Setup'!$C$25&lt;=C85+4),"⚑ DRAFT TO EXEC ",""),IF(AND('Audit Setup'!$C$26&gt;=C85,'Audit Setup'!$C$26&lt;=C85+4),"⚑ EXIT CONFERENCE ",""),IF(AND('Audit Setup'!$C$27&gt;=C85,'Audit Setup'!$C$27&lt;=C85+4),"⚑ MGMT RESPONSES DUE ",""),IF(AND('Audit Setup'!$C$32&gt;=C85,'Audit Setup'!$C$32&lt;=C85+4),"⚑ REPORT RELEASE ",""))))</f>
        <v/>
      </c>
    </row>
    <row r="86" hidden="1" ht="15" customHeight="1">
      <c r="A86" s="67">
        <f>IF(12&lt;='Audit Setup'!$B$14,"RP-"&amp;12,"")</f>
        <v/>
      </c>
      <c r="B86" s="35" t="inlineStr"/>
      <c r="C86" s="68">
        <f>C85+7</f>
        <v/>
      </c>
      <c r="D86" s="52" t="n">
        <v>0</v>
      </c>
      <c r="E86" s="69">
        <f>-COUNTIFS('Holidays &amp; Skeleton'!$B$5:$B$25,"&gt;="&amp;C86,'Holidays &amp; Skeleton'!$B$5:$B$25,"&lt;="&amp;(C86+4))*'Audit Setup'!$B$7</f>
        <v/>
      </c>
      <c r="F86" s="70">
        <f>-COUNTIFS('Holidays &amp; Skeleton'!$B$29:$B$36,"&gt;="&amp;C86,'Holidays &amp; Skeleton'!$B$29:$B$36,"&lt;="&amp;(C86+4))*'Audit Setup'!$B$7</f>
        <v/>
      </c>
      <c r="G86" s="55" t="n">
        <v>0</v>
      </c>
      <c r="H86" s="56">
        <f>CEILING(MAX(0,SUM(D86:G86)),1)</f>
        <v/>
      </c>
      <c r="I86" s="57" t="n"/>
      <c r="J86" s="57" t="n"/>
      <c r="K86" s="58" t="n">
        <v>0</v>
      </c>
      <c r="L86" s="71">
        <f>IF(NOT(ISNUMBER(C86)),"",TRIM(CONCATENATE(IF(AND('Audit Setup'!$C$20&gt;=C86,'Audit Setup'!$C$20&lt;=C86+4),"⚑ KICKOFF ",""),IF(AND('Audit Setup'!$C$21&gt;=C86,'Audit Setup'!$C$21&lt;=C86+4),"⚑ END OF PLANNING ",""),IF(AND('Audit Setup'!$C$22&gt;=C86,'Audit Setup'!$C$22&lt;=C86+4),"⚑ OUTLINE TO EXEC ",""),IF(AND('Audit Setup'!$C$23&gt;=C86,'Audit Setup'!$C$23&lt;=C86+4),"⚑ ON-TARGET ",""),IF(AND('Audit Setup'!$C$25&gt;=C86,'Audit Setup'!$C$25&lt;=C86+4),"⚑ DRAFT TO EXEC ",""),IF(AND('Audit Setup'!$C$26&gt;=C86,'Audit Setup'!$C$26&lt;=C86+4),"⚑ EXIT CONFERENCE ",""),IF(AND('Audit Setup'!$C$27&gt;=C86,'Audit Setup'!$C$27&lt;=C86+4),"⚑ MGMT RESPONSES DUE ",""),IF(AND('Audit Setup'!$C$32&gt;=C86,'Audit Setup'!$C$32&lt;=C86+4),"⚑ REPORT RELEASE ",""))))</f>
        <v/>
      </c>
    </row>
    <row r="87" hidden="1" ht="15" customHeight="1">
      <c r="A87" s="67">
        <f>IF(13&lt;='Audit Setup'!$B$14,"RP-"&amp;13,"")</f>
        <v/>
      </c>
      <c r="B87" s="35" t="inlineStr"/>
      <c r="C87" s="68">
        <f>C86+7</f>
        <v/>
      </c>
      <c r="D87" s="52" t="n">
        <v>0</v>
      </c>
      <c r="E87" s="69">
        <f>-COUNTIFS('Holidays &amp; Skeleton'!$B$5:$B$25,"&gt;="&amp;C87,'Holidays &amp; Skeleton'!$B$5:$B$25,"&lt;="&amp;(C87+4))*'Audit Setup'!$B$7</f>
        <v/>
      </c>
      <c r="F87" s="70">
        <f>-COUNTIFS('Holidays &amp; Skeleton'!$B$29:$B$36,"&gt;="&amp;C87,'Holidays &amp; Skeleton'!$B$29:$B$36,"&lt;="&amp;(C87+4))*'Audit Setup'!$B$7</f>
        <v/>
      </c>
      <c r="G87" s="55" t="n">
        <v>0</v>
      </c>
      <c r="H87" s="56">
        <f>CEILING(MAX(0,SUM(D87:G87)),1)</f>
        <v/>
      </c>
      <c r="I87" s="57" t="n"/>
      <c r="J87" s="57" t="n"/>
      <c r="K87" s="58" t="n">
        <v>0</v>
      </c>
      <c r="L87" s="71">
        <f>IF(NOT(ISNUMBER(C87)),"",TRIM(CONCATENATE(IF(AND('Audit Setup'!$C$20&gt;=C87,'Audit Setup'!$C$20&lt;=C87+4),"⚑ KICKOFF ",""),IF(AND('Audit Setup'!$C$21&gt;=C87,'Audit Setup'!$C$21&lt;=C87+4),"⚑ END OF PLANNING ",""),IF(AND('Audit Setup'!$C$22&gt;=C87,'Audit Setup'!$C$22&lt;=C87+4),"⚑ OUTLINE TO EXEC ",""),IF(AND('Audit Setup'!$C$23&gt;=C87,'Audit Setup'!$C$23&lt;=C87+4),"⚑ ON-TARGET ",""),IF(AND('Audit Setup'!$C$25&gt;=C87,'Audit Setup'!$C$25&lt;=C87+4),"⚑ DRAFT TO EXEC ",""),IF(AND('Audit Setup'!$C$26&gt;=C87,'Audit Setup'!$C$26&lt;=C87+4),"⚑ EXIT CONFERENCE ",""),IF(AND('Audit Setup'!$C$27&gt;=C87,'Audit Setup'!$C$27&lt;=C87+4),"⚑ MGMT RESPONSES DUE ",""),IF(AND('Audit Setup'!$C$32&gt;=C87,'Audit Setup'!$C$32&lt;=C87+4),"⚑ REPORT RELEASE ",""))))</f>
        <v/>
      </c>
    </row>
    <row r="88" hidden="1" ht="15" customHeight="1">
      <c r="A88" s="67">
        <f>IF(14&lt;='Audit Setup'!$B$14,"RP-"&amp;14,"")</f>
        <v/>
      </c>
      <c r="B88" s="35" t="inlineStr"/>
      <c r="C88" s="68">
        <f>C87+7</f>
        <v/>
      </c>
      <c r="D88" s="52" t="n">
        <v>0</v>
      </c>
      <c r="E88" s="69">
        <f>-COUNTIFS('Holidays &amp; Skeleton'!$B$5:$B$25,"&gt;="&amp;C88,'Holidays &amp; Skeleton'!$B$5:$B$25,"&lt;="&amp;(C88+4))*'Audit Setup'!$B$7</f>
        <v/>
      </c>
      <c r="F88" s="70">
        <f>-COUNTIFS('Holidays &amp; Skeleton'!$B$29:$B$36,"&gt;="&amp;C88,'Holidays &amp; Skeleton'!$B$29:$B$36,"&lt;="&amp;(C88+4))*'Audit Setup'!$B$7</f>
        <v/>
      </c>
      <c r="G88" s="55" t="n">
        <v>0</v>
      </c>
      <c r="H88" s="56">
        <f>CEILING(MAX(0,SUM(D88:G88)),1)</f>
        <v/>
      </c>
      <c r="I88" s="57" t="n"/>
      <c r="J88" s="57" t="n"/>
      <c r="K88" s="58" t="n">
        <v>0</v>
      </c>
      <c r="L88" s="71">
        <f>IF(NOT(ISNUMBER(C88)),"",TRIM(CONCATENATE(IF(AND('Audit Setup'!$C$20&gt;=C88,'Audit Setup'!$C$20&lt;=C88+4),"⚑ KICKOFF ",""),IF(AND('Audit Setup'!$C$21&gt;=C88,'Audit Setup'!$C$21&lt;=C88+4),"⚑ END OF PLANNING ",""),IF(AND('Audit Setup'!$C$22&gt;=C88,'Audit Setup'!$C$22&lt;=C88+4),"⚑ OUTLINE TO EXEC ",""),IF(AND('Audit Setup'!$C$23&gt;=C88,'Audit Setup'!$C$23&lt;=C88+4),"⚑ ON-TARGET ",""),IF(AND('Audit Setup'!$C$25&gt;=C88,'Audit Setup'!$C$25&lt;=C88+4),"⚑ DRAFT TO EXEC ",""),IF(AND('Audit Setup'!$C$26&gt;=C88,'Audit Setup'!$C$26&lt;=C88+4),"⚑ EXIT CONFERENCE ",""),IF(AND('Audit Setup'!$C$27&gt;=C88,'Audit Setup'!$C$27&lt;=C88+4),"⚑ MGMT RESPONSES DUE ",""),IF(AND('Audit Setup'!$C$32&gt;=C88,'Audit Setup'!$C$32&lt;=C88+4),"⚑ REPORT RELEASE ",""))))</f>
        <v/>
      </c>
    </row>
    <row r="89" hidden="1" ht="15" customHeight="1">
      <c r="A89" s="67">
        <f>IF(15&lt;='Audit Setup'!$B$14,"RP-"&amp;15,"")</f>
        <v/>
      </c>
      <c r="B89" s="35" t="inlineStr"/>
      <c r="C89" s="68">
        <f>C88+7</f>
        <v/>
      </c>
      <c r="D89" s="52" t="n">
        <v>0</v>
      </c>
      <c r="E89" s="69">
        <f>-COUNTIFS('Holidays &amp; Skeleton'!$B$5:$B$25,"&gt;="&amp;C89,'Holidays &amp; Skeleton'!$B$5:$B$25,"&lt;="&amp;(C89+4))*'Audit Setup'!$B$7</f>
        <v/>
      </c>
      <c r="F89" s="70">
        <f>-COUNTIFS('Holidays &amp; Skeleton'!$B$29:$B$36,"&gt;="&amp;C89,'Holidays &amp; Skeleton'!$B$29:$B$36,"&lt;="&amp;(C89+4))*'Audit Setup'!$B$7</f>
        <v/>
      </c>
      <c r="G89" s="55" t="n">
        <v>0</v>
      </c>
      <c r="H89" s="56">
        <f>CEILING(MAX(0,SUM(D89:G89)),1)</f>
        <v/>
      </c>
      <c r="I89" s="57" t="n"/>
      <c r="J89" s="57" t="n"/>
      <c r="K89" s="58" t="n">
        <v>0</v>
      </c>
      <c r="L89" s="71">
        <f>IF(NOT(ISNUMBER(C89)),"",TRIM(CONCATENATE(IF(AND('Audit Setup'!$C$20&gt;=C89,'Audit Setup'!$C$20&lt;=C89+4),"⚑ KICKOFF ",""),IF(AND('Audit Setup'!$C$21&gt;=C89,'Audit Setup'!$C$21&lt;=C89+4),"⚑ END OF PLANNING ",""),IF(AND('Audit Setup'!$C$22&gt;=C89,'Audit Setup'!$C$22&lt;=C89+4),"⚑ OUTLINE TO EXEC ",""),IF(AND('Audit Setup'!$C$23&gt;=C89,'Audit Setup'!$C$23&lt;=C89+4),"⚑ ON-TARGET ",""),IF(AND('Audit Setup'!$C$25&gt;=C89,'Audit Setup'!$C$25&lt;=C89+4),"⚑ DRAFT TO EXEC ",""),IF(AND('Audit Setup'!$C$26&gt;=C89,'Audit Setup'!$C$26&lt;=C89+4),"⚑ EXIT CONFERENCE ",""),IF(AND('Audit Setup'!$C$27&gt;=C89,'Audit Setup'!$C$27&lt;=C89+4),"⚑ MGMT RESPONSES DUE ",""),IF(AND('Audit Setup'!$C$32&gt;=C89,'Audit Setup'!$C$32&lt;=C89+4),"⚑ REPORT RELEASE ",""))))</f>
        <v/>
      </c>
    </row>
    <row r="90" hidden="1" ht="15" customHeight="1">
      <c r="A90" s="67">
        <f>IF(16&lt;='Audit Setup'!$B$14,"RP-"&amp;16,"")</f>
        <v/>
      </c>
      <c r="B90" s="35" t="inlineStr"/>
      <c r="C90" s="68">
        <f>C89+7</f>
        <v/>
      </c>
      <c r="D90" s="52" t="n">
        <v>0</v>
      </c>
      <c r="E90" s="69">
        <f>-COUNTIFS('Holidays &amp; Skeleton'!$B$5:$B$25,"&gt;="&amp;C90,'Holidays &amp; Skeleton'!$B$5:$B$25,"&lt;="&amp;(C90+4))*'Audit Setup'!$B$7</f>
        <v/>
      </c>
      <c r="F90" s="70">
        <f>-COUNTIFS('Holidays &amp; Skeleton'!$B$29:$B$36,"&gt;="&amp;C90,'Holidays &amp; Skeleton'!$B$29:$B$36,"&lt;="&amp;(C90+4))*'Audit Setup'!$B$7</f>
        <v/>
      </c>
      <c r="G90" s="55" t="n">
        <v>0</v>
      </c>
      <c r="H90" s="56">
        <f>CEILING(MAX(0,SUM(D90:G90)),1)</f>
        <v/>
      </c>
      <c r="I90" s="57" t="n"/>
      <c r="J90" s="57" t="n"/>
      <c r="K90" s="58" t="n">
        <v>0</v>
      </c>
      <c r="L90" s="71">
        <f>IF(NOT(ISNUMBER(C90)),"",TRIM(CONCATENATE(IF(AND('Audit Setup'!$C$20&gt;=C90,'Audit Setup'!$C$20&lt;=C90+4),"⚑ KICKOFF ",""),IF(AND('Audit Setup'!$C$21&gt;=C90,'Audit Setup'!$C$21&lt;=C90+4),"⚑ END OF PLANNING ",""),IF(AND('Audit Setup'!$C$22&gt;=C90,'Audit Setup'!$C$22&lt;=C90+4),"⚑ OUTLINE TO EXEC ",""),IF(AND('Audit Setup'!$C$23&gt;=C90,'Audit Setup'!$C$23&lt;=C90+4),"⚑ ON-TARGET ",""),IF(AND('Audit Setup'!$C$25&gt;=C90,'Audit Setup'!$C$25&lt;=C90+4),"⚑ DRAFT TO EXEC ",""),IF(AND('Audit Setup'!$C$26&gt;=C90,'Audit Setup'!$C$26&lt;=C90+4),"⚑ EXIT CONFERENCE ",""),IF(AND('Audit Setup'!$C$27&gt;=C90,'Audit Setup'!$C$27&lt;=C90+4),"⚑ MGMT RESPONSES DUE ",""),IF(AND('Audit Setup'!$C$32&gt;=C90,'Audit Setup'!$C$32&lt;=C90+4),"⚑ REPORT RELEASE ",""))))</f>
        <v/>
      </c>
    </row>
    <row r="91" hidden="1" ht="15" customHeight="1">
      <c r="A91" s="67">
        <f>IF(17&lt;='Audit Setup'!$B$14,"RP-"&amp;17,"")</f>
        <v/>
      </c>
      <c r="B91" s="35" t="inlineStr"/>
      <c r="C91" s="68">
        <f>C90+7</f>
        <v/>
      </c>
      <c r="D91" s="52" t="n">
        <v>0</v>
      </c>
      <c r="E91" s="69">
        <f>-COUNTIFS('Holidays &amp; Skeleton'!$B$5:$B$25,"&gt;="&amp;C91,'Holidays &amp; Skeleton'!$B$5:$B$25,"&lt;="&amp;(C91+4))*'Audit Setup'!$B$7</f>
        <v/>
      </c>
      <c r="F91" s="70">
        <f>-COUNTIFS('Holidays &amp; Skeleton'!$B$29:$B$36,"&gt;="&amp;C91,'Holidays &amp; Skeleton'!$B$29:$B$36,"&lt;="&amp;(C91+4))*'Audit Setup'!$B$7</f>
        <v/>
      </c>
      <c r="G91" s="55" t="n">
        <v>0</v>
      </c>
      <c r="H91" s="56">
        <f>CEILING(MAX(0,SUM(D91:G91)),1)</f>
        <v/>
      </c>
      <c r="I91" s="57" t="n"/>
      <c r="J91" s="57" t="n"/>
      <c r="K91" s="58" t="n">
        <v>0</v>
      </c>
      <c r="L91" s="71">
        <f>IF(NOT(ISNUMBER(C91)),"",TRIM(CONCATENATE(IF(AND('Audit Setup'!$C$20&gt;=C91,'Audit Setup'!$C$20&lt;=C91+4),"⚑ KICKOFF ",""),IF(AND('Audit Setup'!$C$21&gt;=C91,'Audit Setup'!$C$21&lt;=C91+4),"⚑ END OF PLANNING ",""),IF(AND('Audit Setup'!$C$22&gt;=C91,'Audit Setup'!$C$22&lt;=C91+4),"⚑ OUTLINE TO EXEC ",""),IF(AND('Audit Setup'!$C$23&gt;=C91,'Audit Setup'!$C$23&lt;=C91+4),"⚑ ON-TARGET ",""),IF(AND('Audit Setup'!$C$25&gt;=C91,'Audit Setup'!$C$25&lt;=C91+4),"⚑ DRAFT TO EXEC ",""),IF(AND('Audit Setup'!$C$26&gt;=C91,'Audit Setup'!$C$26&lt;=C91+4),"⚑ EXIT CONFERENCE ",""),IF(AND('Audit Setup'!$C$27&gt;=C91,'Audit Setup'!$C$27&lt;=C91+4),"⚑ MGMT RESPONSES DUE ",""),IF(AND('Audit Setup'!$C$32&gt;=C91,'Audit Setup'!$C$32&lt;=C91+4),"⚑ REPORT RELEASE ",""))))</f>
        <v/>
      </c>
    </row>
    <row r="92" hidden="1" ht="15" customHeight="1">
      <c r="A92" s="67">
        <f>IF(18&lt;='Audit Setup'!$B$14,"RP-"&amp;18,"")</f>
        <v/>
      </c>
      <c r="B92" s="35" t="inlineStr"/>
      <c r="C92" s="68">
        <f>C91+7</f>
        <v/>
      </c>
      <c r="D92" s="52" t="n">
        <v>0</v>
      </c>
      <c r="E92" s="69">
        <f>-COUNTIFS('Holidays &amp; Skeleton'!$B$5:$B$25,"&gt;="&amp;C92,'Holidays &amp; Skeleton'!$B$5:$B$25,"&lt;="&amp;(C92+4))*'Audit Setup'!$B$7</f>
        <v/>
      </c>
      <c r="F92" s="70">
        <f>-COUNTIFS('Holidays &amp; Skeleton'!$B$29:$B$36,"&gt;="&amp;C92,'Holidays &amp; Skeleton'!$B$29:$B$36,"&lt;="&amp;(C92+4))*'Audit Setup'!$B$7</f>
        <v/>
      </c>
      <c r="G92" s="55" t="n">
        <v>0</v>
      </c>
      <c r="H92" s="56">
        <f>CEILING(MAX(0,SUM(D92:G92)),1)</f>
        <v/>
      </c>
      <c r="I92" s="57" t="n"/>
      <c r="J92" s="57" t="n"/>
      <c r="K92" s="58" t="n">
        <v>0</v>
      </c>
      <c r="L92" s="71">
        <f>IF(NOT(ISNUMBER(C92)),"",TRIM(CONCATENATE(IF(AND('Audit Setup'!$C$20&gt;=C92,'Audit Setup'!$C$20&lt;=C92+4),"⚑ KICKOFF ",""),IF(AND('Audit Setup'!$C$21&gt;=C92,'Audit Setup'!$C$21&lt;=C92+4),"⚑ END OF PLANNING ",""),IF(AND('Audit Setup'!$C$22&gt;=C92,'Audit Setup'!$C$22&lt;=C92+4),"⚑ OUTLINE TO EXEC ",""),IF(AND('Audit Setup'!$C$23&gt;=C92,'Audit Setup'!$C$23&lt;=C92+4),"⚑ ON-TARGET ",""),IF(AND('Audit Setup'!$C$25&gt;=C92,'Audit Setup'!$C$25&lt;=C92+4),"⚑ DRAFT TO EXEC ",""),IF(AND('Audit Setup'!$C$26&gt;=C92,'Audit Setup'!$C$26&lt;=C92+4),"⚑ EXIT CONFERENCE ",""),IF(AND('Audit Setup'!$C$27&gt;=C92,'Audit Setup'!$C$27&lt;=C92+4),"⚑ MGMT RESPONSES DUE ",""),IF(AND('Audit Setup'!$C$32&gt;=C92,'Audit Setup'!$C$32&lt;=C92+4),"⚑ REPORT RELEASE ",""))))</f>
        <v/>
      </c>
    </row>
    <row r="93" hidden="1" ht="15" customHeight="1">
      <c r="A93" s="67">
        <f>IF(19&lt;='Audit Setup'!$B$14,"RP-"&amp;19,"")</f>
        <v/>
      </c>
      <c r="B93" s="35" t="inlineStr"/>
      <c r="C93" s="68">
        <f>C92+7</f>
        <v/>
      </c>
      <c r="D93" s="52" t="n">
        <v>0</v>
      </c>
      <c r="E93" s="69">
        <f>-COUNTIFS('Holidays &amp; Skeleton'!$B$5:$B$25,"&gt;="&amp;C93,'Holidays &amp; Skeleton'!$B$5:$B$25,"&lt;="&amp;(C93+4))*'Audit Setup'!$B$7</f>
        <v/>
      </c>
      <c r="F93" s="70">
        <f>-COUNTIFS('Holidays &amp; Skeleton'!$B$29:$B$36,"&gt;="&amp;C93,'Holidays &amp; Skeleton'!$B$29:$B$36,"&lt;="&amp;(C93+4))*'Audit Setup'!$B$7</f>
        <v/>
      </c>
      <c r="G93" s="55" t="n">
        <v>0</v>
      </c>
      <c r="H93" s="56">
        <f>CEILING(MAX(0,SUM(D93:G93)),1)</f>
        <v/>
      </c>
      <c r="I93" s="57" t="n"/>
      <c r="J93" s="57" t="n"/>
      <c r="K93" s="58" t="n">
        <v>0</v>
      </c>
      <c r="L93" s="71">
        <f>IF(NOT(ISNUMBER(C93)),"",TRIM(CONCATENATE(IF(AND('Audit Setup'!$C$20&gt;=C93,'Audit Setup'!$C$20&lt;=C93+4),"⚑ KICKOFF ",""),IF(AND('Audit Setup'!$C$21&gt;=C93,'Audit Setup'!$C$21&lt;=C93+4),"⚑ END OF PLANNING ",""),IF(AND('Audit Setup'!$C$22&gt;=C93,'Audit Setup'!$C$22&lt;=C93+4),"⚑ OUTLINE TO EXEC ",""),IF(AND('Audit Setup'!$C$23&gt;=C93,'Audit Setup'!$C$23&lt;=C93+4),"⚑ ON-TARGET ",""),IF(AND('Audit Setup'!$C$25&gt;=C93,'Audit Setup'!$C$25&lt;=C93+4),"⚑ DRAFT TO EXEC ",""),IF(AND('Audit Setup'!$C$26&gt;=C93,'Audit Setup'!$C$26&lt;=C93+4),"⚑ EXIT CONFERENCE ",""),IF(AND('Audit Setup'!$C$27&gt;=C93,'Audit Setup'!$C$27&lt;=C93+4),"⚑ MGMT RESPONSES DUE ",""),IF(AND('Audit Setup'!$C$32&gt;=C93,'Audit Setup'!$C$32&lt;=C93+4),"⚑ REPORT RELEASE ",""))))</f>
        <v/>
      </c>
    </row>
    <row r="94" hidden="1" ht="15" customHeight="1">
      <c r="A94" s="67">
        <f>IF(20&lt;='Audit Setup'!$B$14,"RP-"&amp;20,"")</f>
        <v/>
      </c>
      <c r="B94" s="35" t="inlineStr"/>
      <c r="C94" s="68">
        <f>C93+7</f>
        <v/>
      </c>
      <c r="D94" s="52" t="n">
        <v>0</v>
      </c>
      <c r="E94" s="69">
        <f>-COUNTIFS('Holidays &amp; Skeleton'!$B$5:$B$25,"&gt;="&amp;C94,'Holidays &amp; Skeleton'!$B$5:$B$25,"&lt;="&amp;(C94+4))*'Audit Setup'!$B$7</f>
        <v/>
      </c>
      <c r="F94" s="70">
        <f>-COUNTIFS('Holidays &amp; Skeleton'!$B$29:$B$36,"&gt;="&amp;C94,'Holidays &amp; Skeleton'!$B$29:$B$36,"&lt;="&amp;(C94+4))*'Audit Setup'!$B$7</f>
        <v/>
      </c>
      <c r="G94" s="55" t="n">
        <v>0</v>
      </c>
      <c r="H94" s="56">
        <f>CEILING(MAX(0,SUM(D94:G94)),1)</f>
        <v/>
      </c>
      <c r="I94" s="57" t="n"/>
      <c r="J94" s="57" t="n"/>
      <c r="K94" s="58" t="n">
        <v>0</v>
      </c>
      <c r="L94" s="71">
        <f>IF(NOT(ISNUMBER(C94)),"",TRIM(CONCATENATE(IF(AND('Audit Setup'!$C$20&gt;=C94,'Audit Setup'!$C$20&lt;=C94+4),"⚑ KICKOFF ",""),IF(AND('Audit Setup'!$C$21&gt;=C94,'Audit Setup'!$C$21&lt;=C94+4),"⚑ END OF PLANNING ",""),IF(AND('Audit Setup'!$C$22&gt;=C94,'Audit Setup'!$C$22&lt;=C94+4),"⚑ OUTLINE TO EXEC ",""),IF(AND('Audit Setup'!$C$23&gt;=C94,'Audit Setup'!$C$23&lt;=C94+4),"⚑ ON-TARGET ",""),IF(AND('Audit Setup'!$C$25&gt;=C94,'Audit Setup'!$C$25&lt;=C94+4),"⚑ DRAFT TO EXEC ",""),IF(AND('Audit Setup'!$C$26&gt;=C94,'Audit Setup'!$C$26&lt;=C94+4),"⚑ EXIT CONFERENCE ",""),IF(AND('Audit Setup'!$C$27&gt;=C94,'Audit Setup'!$C$27&lt;=C94+4),"⚑ MGMT RESPONSES DUE ",""),IF(AND('Audit Setup'!$C$32&gt;=C94,'Audit Setup'!$C$32&lt;=C94+4),"⚑ REPORT RELEASE ",""))))</f>
        <v/>
      </c>
    </row>
    <row r="95" ht="22" customHeight="1">
      <c r="A95" s="72" t="inlineStr">
        <is>
          <t>TOTALS</t>
        </is>
      </c>
      <c r="D95" s="73">
        <f>SUM(D8:D32,D34:D73,D75:D94)</f>
        <v/>
      </c>
      <c r="E95" s="74">
        <f>SUM(E8:E32,E34:E73,E75:E94)</f>
        <v/>
      </c>
      <c r="F95" s="75">
        <f>SUM(F8:F32,F34:F73,F75:F94)</f>
        <v/>
      </c>
      <c r="G95" s="74">
        <f>SUM(G8:G32,G34:G73,G75:G94)</f>
        <v/>
      </c>
      <c r="H95" s="76">
        <f>SUM(H8:H32,H34:H73,H75:H94)</f>
        <v/>
      </c>
      <c r="I95" s="57" t="n"/>
      <c r="J95" s="57" t="n"/>
      <c r="K95" s="73">
        <f>SUM(K8:K32,K34:K73,K75:K94)</f>
        <v/>
      </c>
      <c r="L95" s="57" t="n"/>
    </row>
    <row r="96" ht="18" customHeight="1">
      <c r="A96" s="77" t="inlineStr">
        <is>
          <t>Variance: Actual (K) minus Total Available (H)</t>
        </is>
      </c>
      <c r="H96" s="78">
        <f>K95-H95</f>
        <v/>
      </c>
      <c r="I96" s="79" t="inlineStr">
        <is>
          <t>Positive = over budget | Negative = under budget</t>
        </is>
      </c>
    </row>
  </sheetData>
  <mergeCells count="12">
    <mergeCell ref="A2:B2"/>
    <mergeCell ref="A7:L7"/>
    <mergeCell ref="I96:L96"/>
    <mergeCell ref="A33:L33"/>
    <mergeCell ref="A1:L1"/>
    <mergeCell ref="C3:L3"/>
    <mergeCell ref="A96:G96"/>
    <mergeCell ref="A74:L74"/>
    <mergeCell ref="C2:L2"/>
    <mergeCell ref="A3:B3"/>
    <mergeCell ref="A95:C95"/>
    <mergeCell ref="A4:L4"/>
  </mergeCells>
  <conditionalFormatting sqref="A8:L94">
    <cfRule type="expression" priority="1" dxfId="1">
      <formula>=AND(LEN($L8)&gt;0,ISNUMBER(SEARCH("⚑",$L8)))</formula>
    </cfRule>
  </conditionalFormatting>
  <dataValidations count="1">
    <dataValidation sqref="D8:D94" showDropDown="0" showInputMessage="0" showErrorMessage="1" allowBlank="0" errorTitle="Invalid Entry" error="0-40 hrs only" type="decimal" operator="between">
      <formula1>0</formula1>
      <formula2>40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2026-04-22T00:34:56Z</dcterms:created>
  <dcterms:modified xsi:type="dcterms:W3CDTF">2026-04-22T00:35:01Z</dcterms:modified>
</cp:coreProperties>
</file>